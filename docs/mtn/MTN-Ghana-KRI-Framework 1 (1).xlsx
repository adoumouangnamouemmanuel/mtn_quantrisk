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Config" sheetId="1" state="visible" r:id="rId3"/>
    <sheet name="Data Quality" sheetId="2" state="visible" r:id="rId4"/>
    <sheet name="KRI Register" sheetId="3" state="visible" r:id="rId5"/>
    <sheet name="Base Case" sheetId="4" state="visible" r:id="rId6"/>
    <sheet name="Scenario Library" sheetId="5" state="visible" r:id="rId7"/>
    <sheet name="README" sheetId="6" state="visible" r:id="rId8"/>
    <sheet name="Annual" sheetId="7" state="visible" r:id="rId9"/>
    <sheet name="HalfYearly" sheetId="8" state="visible" r:id="rId10"/>
    <sheet name="Quarterly" sheetId="9" state="visible" r:id="rId11"/>
    <sheet name="Segments_Annual" sheetId="10" state="visible" r:id="rId12"/>
    <sheet name="Segments_Quarterly" sheetId="11" state="visible" r:id="rId13"/>
    <sheet name="Operational_Annual" sheetId="12" state="visible" r:id="rId14"/>
    <sheet name="Operational_Quarterly" sheetId="13" state="visible" r:id="rId15"/>
    <sheet name="Leading_Indicators" sheetId="14" state="visible" r:id="rId16"/>
    <sheet name="Macro_Context" sheetId="15" state="visible" r:id="rId17"/>
    <sheet name="Derived_Ratios" sheetId="16" state="visible" r:id="rId18"/>
    <sheet name="Threshold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<sst xmlns="http://schemas.openxmlformats.org/spreadsheetml/2006/main" count="2935" uniqueCount="849">
  <si>
    <t xml:space="preserve">DASHBOARD CONFIG — MTN Ghana</t>
  </si>
  <si>
    <t xml:space="preserve">Controls dashboard elements. Edit Value column to customise; delete a row to fall back to auto-selection.</t>
  </si>
  <si>
    <t xml:space="preserve">Setting Key</t>
  </si>
  <si>
    <t xml:space="preserve">Value</t>
  </si>
  <si>
    <t xml:space="preserve">Section</t>
  </si>
  <si>
    <t xml:space="preserve">Description</t>
  </si>
  <si>
    <t xml:space="preserve">TAB 04: SUMMARY TILES</t>
  </si>
  <si>
    <t xml:space="preserve">tile_1_kpi</t>
  </si>
  <si>
    <t xml:space="preserve">FIN01</t>
  </si>
  <si>
    <t xml:space="preserve">TAB 04</t>
  </si>
  <si>
    <t xml:space="preserve">KPI for tile 1 — default: Service Revenue</t>
  </si>
  <si>
    <t xml:space="preserve">tile_2_kpi</t>
  </si>
  <si>
    <t xml:space="preserve">FIN03</t>
  </si>
  <si>
    <t xml:space="preserve">KPI for tile 2 — default: EBITDA margin</t>
  </si>
  <si>
    <t xml:space="preserve">tile_3_kpi</t>
  </si>
  <si>
    <t xml:space="preserve">SEG02</t>
  </si>
  <si>
    <t xml:space="preserve">KPI for tile 3 — default: Data share of revenue</t>
  </si>
  <si>
    <t xml:space="preserve">tile_4_kpi</t>
  </si>
  <si>
    <t xml:space="preserve">OPS08</t>
  </si>
  <si>
    <t xml:space="preserve">KPI for tile 4 — default: Avg ARPU GHS</t>
  </si>
  <si>
    <t xml:space="preserve">TAB 04: WATERFALLS</t>
  </si>
  <si>
    <t xml:space="preserve">waterfall_financial_kpi</t>
  </si>
  <si>
    <t xml:space="preserve">Financial waterfall anchor</t>
  </si>
  <si>
    <t xml:space="preserve">waterfall_nonfinancial_kpi</t>
  </si>
  <si>
    <t xml:space="preserve">Non-financial waterfall anchor (ARPU)</t>
  </si>
  <si>
    <t xml:space="preserve">TAB 05: COMPARISON CHARTS</t>
  </si>
  <si>
    <t xml:space="preserve">compare_financial_kpis</t>
  </si>
  <si>
    <t xml:space="preserve">FIN01,FIN02,FIN03,FIN04,FIN05,FIN08,FIN10,FIN11,FIN13</t>
  </si>
  <si>
    <t xml:space="preserve">TAB 05</t>
  </si>
  <si>
    <t xml:space="preserve">Financial KPIs for comparison bar chart</t>
  </si>
  <si>
    <t xml:space="preserve">compare_nonfinancial_kpis</t>
  </si>
  <si>
    <t xml:space="preserve">OPS01,OPS02,OPS04,OPS05,OPS06,OPS08,SEG01,SEG02,SEG03,SEG04,LED01,LED03</t>
  </si>
  <si>
    <t xml:space="preserve">Non-financial KPIs for comparison bar chart</t>
  </si>
  <si>
    <t xml:space="preserve">TAB 06: REVERSE STRESS</t>
  </si>
  <si>
    <t xml:space="preserve">reverse_default_kpi</t>
  </si>
  <si>
    <t xml:space="preserve">TAB 06</t>
  </si>
  <si>
    <t xml:space="preserve">Default KPI on reverse stress tab</t>
  </si>
  <si>
    <t xml:space="preserve">reverse_default_target</t>
  </si>
  <si>
    <t xml:space="preserve">55.0</t>
  </si>
  <si>
    <t xml:space="preserve">Default target value (EBITDA margin floor)</t>
  </si>
  <si>
    <t xml:space="preserve">reverse_default_scenario</t>
  </si>
  <si>
    <t xml:space="preserve">S11</t>
  </si>
  <si>
    <t xml:space="preserve">Default scenario (Ghana macro reversal)</t>
  </si>
  <si>
    <t xml:space="preserve">UNIT FORMATS</t>
  </si>
  <si>
    <t xml:space="preserve">format_GHSm</t>
  </si>
  <si>
    <t xml:space="preserve">GHS#.#m</t>
  </si>
  <si>
    <t xml:space="preserve">Ghana Cedi millions</t>
  </si>
  <si>
    <t xml:space="preserve">format_GHS</t>
  </si>
  <si>
    <t xml:space="preserve">GHS#.##</t>
  </si>
  <si>
    <t xml:space="preserve">Ghana Cedi (per unit)</t>
  </si>
  <si>
    <t xml:space="preserve">format_USD</t>
  </si>
  <si>
    <t xml:space="preserve">$#.##</t>
  </si>
  <si>
    <t xml:space="preserve">US Dollar</t>
  </si>
  <si>
    <t xml:space="preserve">format_%</t>
  </si>
  <si>
    <t xml:space="preserve">#.#%</t>
  </si>
  <si>
    <t xml:space="preserve">Percentage</t>
  </si>
  <si>
    <t xml:space="preserve">format_m</t>
  </si>
  <si>
    <t xml:space="preserve">#.#m</t>
  </si>
  <si>
    <t xml:space="preserve">Millions of users/subs</t>
  </si>
  <si>
    <t xml:space="preserve">format_GB</t>
  </si>
  <si>
    <t xml:space="preserve">#.#GB</t>
  </si>
  <si>
    <t xml:space="preserve">Gigabytes</t>
  </si>
  <si>
    <t xml:space="preserve">format_count</t>
  </si>
  <si>
    <t xml:space="preserve">#</t>
  </si>
  <si>
    <t xml:space="preserve">Count</t>
  </si>
  <si>
    <t xml:space="preserve">format_bps</t>
  </si>
  <si>
    <t xml:space="preserve">#.# bps</t>
  </si>
  <si>
    <t xml:space="preserve">Basis points</t>
  </si>
  <si>
    <t xml:space="preserve">format_x</t>
  </si>
  <si>
    <t xml:space="preserve">#.##x</t>
  </si>
  <si>
    <t xml:space="preserve">Multiplier</t>
  </si>
  <si>
    <t xml:space="preserve">format_pp</t>
  </si>
  <si>
    <t xml:space="preserve">#.#pp</t>
  </si>
  <si>
    <t xml:space="preserve">Percentage points</t>
  </si>
  <si>
    <t xml:space="preserve">format_index</t>
  </si>
  <si>
    <t xml:space="preserve">Index value</t>
  </si>
  <si>
    <t xml:space="preserve">format_days</t>
  </si>
  <si>
    <t xml:space="preserve"># days</t>
  </si>
  <si>
    <t xml:space="preserve">Days</t>
  </si>
  <si>
    <t xml:space="preserve">format_GHS/USD</t>
  </si>
  <si>
    <t xml:space="preserve">#.##</t>
  </si>
  <si>
    <t xml:space="preserve">Cedi-USD exchange rate</t>
  </si>
  <si>
    <t xml:space="preserve">SHEET NAMES</t>
  </si>
  <si>
    <t xml:space="preserve">sheet_kri_register</t>
  </si>
  <si>
    <t xml:space="preserve">KRI Register</t>
  </si>
  <si>
    <t xml:space="preserve">Sheet name for KRI register</t>
  </si>
  <si>
    <t xml:space="preserve">sheet_base_case</t>
  </si>
  <si>
    <t xml:space="preserve">Base Case</t>
  </si>
  <si>
    <t xml:space="preserve">Sheet name for base case</t>
  </si>
  <si>
    <t xml:space="preserve">sheet_scenarios</t>
  </si>
  <si>
    <t xml:space="preserve">Scenario Library</t>
  </si>
  <si>
    <t xml:space="preserve">Sheet name for scenarios</t>
  </si>
  <si>
    <t xml:space="preserve">BRANDING</t>
  </si>
  <si>
    <t xml:space="preserve">report_title</t>
  </si>
  <si>
    <t xml:space="preserve">MTN GHANA — FY25 KRI Dashboard</t>
  </si>
  <si>
    <t xml:space="preserve">Title in header</t>
  </si>
  <si>
    <t xml:space="preserve">report_period</t>
  </si>
  <si>
    <t xml:space="preserve">FY 2025</t>
  </si>
  <si>
    <t xml:space="preserve">Period label</t>
  </si>
  <si>
    <t xml:space="preserve">framework_version</t>
  </si>
  <si>
    <t xml:space="preserve">v8.0</t>
  </si>
  <si>
    <t xml:space="preserve">Framework version</t>
  </si>
  <si>
    <t xml:space="preserve">AUTO-DETECTION</t>
  </si>
  <si>
    <t xml:space="preserve">expected_kri_filename</t>
  </si>
  <si>
    <t xml:space="preserve">MTN-Ghana-KRI-Framework.xlsx</t>
  </si>
  <si>
    <t xml:space="preserve">Filename(s) for auto-detect. Comma-separated for aliases.</t>
  </si>
  <si>
    <t xml:space="preserve">expected_data_filename</t>
  </si>
  <si>
    <t xml:space="preserve">Optional separate data workbook filename(s).</t>
  </si>
  <si>
    <t xml:space="preserve">autodetect_mode</t>
  </si>
  <si>
    <t xml:space="preserve">discover</t>
  </si>
  <si>
    <t xml:space="preserve">'strict' = configured only; 'discover' = also scan common patterns</t>
  </si>
  <si>
    <t xml:space="preserve">autodetect_warn_on_alias</t>
  </si>
  <si>
    <t xml:space="preserve">true</t>
  </si>
  <si>
    <t xml:space="preserve">Warn in banner if file loaded under non-default name</t>
  </si>
  <si>
    <t xml:space="preserve">autodetect_search_paths</t>
  </si>
  <si>
    <t xml:space="preserve">.</t>
  </si>
  <si>
    <t xml:space="preserve">Comma-separated relative paths to search</t>
  </si>
  <si>
    <t xml:space="preserve">RISK CATEGORIES (Tab 01 cards &amp; valid values)</t>
  </si>
  <si>
    <t xml:space="preserve">category_01_name</t>
  </si>
  <si>
    <t xml:space="preserve">Strategic</t>
  </si>
  <si>
    <t xml:space="preserve">Category 1 name</t>
  </si>
  <si>
    <t xml:space="preserve">category_01_blurb</t>
  </si>
  <si>
    <t xml:space="preserve">Long-term portfolio, segments mix, market share defence</t>
  </si>
  <si>
    <t xml:space="preserve">Description on Tab 01 card</t>
  </si>
  <si>
    <t xml:space="preserve">category_02_name</t>
  </si>
  <si>
    <t xml:space="preserve">Governance</t>
  </si>
  <si>
    <t xml:space="preserve">Category 2 name</t>
  </si>
  <si>
    <t xml:space="preserve">category_02_blurb</t>
  </si>
  <si>
    <t xml:space="preserve">Board oversight, NCA &amp; BoG regulatory licensing, ethics &amp; conduct</t>
  </si>
  <si>
    <t xml:space="preserve">category_03_name</t>
  </si>
  <si>
    <t xml:space="preserve">Financial</t>
  </si>
  <si>
    <t xml:space="preserve">Category 3 name</t>
  </si>
  <si>
    <t xml:space="preserve">category_03_blurb</t>
  </si>
  <si>
    <t xml:space="preserve">Liquidity, FX (Cedi/USD), capital, margin defence, dividend upstreaming</t>
  </si>
  <si>
    <t xml:space="preserve">category_04_name</t>
  </si>
  <si>
    <t xml:space="preserve">Technology</t>
  </si>
  <si>
    <t xml:space="preserve">Category 4 name</t>
  </si>
  <si>
    <t xml:space="preserve">category_04_blurb</t>
  </si>
  <si>
    <t xml:space="preserve">Cyber, MoMo platform resilience, data privacy, network quality</t>
  </si>
  <si>
    <t xml:space="preserve">category_05_name</t>
  </si>
  <si>
    <t xml:space="preserve">Operational</t>
  </si>
  <si>
    <t xml:space="preserve">Category 5 name</t>
  </si>
  <si>
    <t xml:space="preserve">category_05_blurb</t>
  </si>
  <si>
    <t xml:space="preserve">Network coverage, energy (ECG/diesel), supply chain, people &amp; H&amp;S</t>
  </si>
  <si>
    <t xml:space="preserve">category_06_name</t>
  </si>
  <si>
    <t xml:space="preserve">External</t>
  </si>
  <si>
    <t xml:space="preserve">Category 6 name</t>
  </si>
  <si>
    <t xml:space="preserve">category_06_blurb</t>
  </si>
  <si>
    <t xml:space="preserve">Macro (inflation, GDP, FX), e-levy &amp; regulatory, competition, climate</t>
  </si>
  <si>
    <t xml:space="preserve">category_07_name</t>
  </si>
  <si>
    <t xml:space="preserve">Add a 7th category — fill in name + blurb</t>
  </si>
  <si>
    <t xml:space="preserve">category_07_blurb</t>
  </si>
  <si>
    <t xml:space="preserve">Optional 7th category blurb</t>
  </si>
  <si>
    <t xml:space="preserve">category_08_name</t>
  </si>
  <si>
    <t xml:space="preserve">Add an 8th category</t>
  </si>
  <si>
    <t xml:space="preserve">category_08_blurb</t>
  </si>
  <si>
    <t xml:space="preserve">Optional 8th category blurb</t>
  </si>
  <si>
    <t xml:space="preserve">VALID DROPDOWNS</t>
  </si>
  <si>
    <t xml:space="preserve">valid_kri_types</t>
  </si>
  <si>
    <t xml:space="preserve">Leading,Lagging</t>
  </si>
  <si>
    <t xml:space="preserve">Allowed KRI types</t>
  </si>
  <si>
    <t xml:space="preserve">valid_rag_states</t>
  </si>
  <si>
    <t xml:space="preserve">Red,Amber,Green</t>
  </si>
  <si>
    <t xml:space="preserve">Allowed RAG states</t>
  </si>
  <si>
    <t xml:space="preserve">valid_trend_symbols</t>
  </si>
  <si>
    <t xml:space="preserve">↑,→,↓</t>
  </si>
  <si>
    <t xml:space="preserve">Allowed trend symbols</t>
  </si>
  <si>
    <t xml:space="preserve">valid_scenario_types</t>
  </si>
  <si>
    <t xml:space="preserve">Stress,Shock,Combined,Reverse</t>
  </si>
  <si>
    <t xml:space="preserve">Allowed scenario types</t>
  </si>
  <si>
    <t xml:space="preserve">valid_impact_types</t>
  </si>
  <si>
    <t xml:space="preserve">pct,delta,abs</t>
  </si>
  <si>
    <t xml:space="preserve">Allowed impact types</t>
  </si>
  <si>
    <t xml:space="preserve">valid_directions</t>
  </si>
  <si>
    <t xml:space="preserve">higher,lower</t>
  </si>
  <si>
    <t xml:space="preserve">Allowed direction values</t>
  </si>
  <si>
    <t xml:space="preserve">valid_frequencies</t>
  </si>
  <si>
    <t xml:space="preserve">Daily,Weekly,Monthly,Quarterly,Half-yearly,Annual,Continuous,Per meeting</t>
  </si>
  <si>
    <t xml:space="preserve">Allowed measurement frequencies</t>
  </si>
  <si>
    <t xml:space="preserve">valid_units</t>
  </si>
  <si>
    <t xml:space="preserve">GHSm,GHS,USD,GHS/USD,%,pp,bps,m,GB,count,index,days,x</t>
  </si>
  <si>
    <t xml:space="preserve">Allowed unit values</t>
  </si>
  <si>
    <t xml:space="preserve">RAG COLOURS</t>
  </si>
  <si>
    <t xml:space="preserve">rag_color_Red</t>
  </si>
  <si>
    <t xml:space="preserve">#C53030</t>
  </si>
  <si>
    <t xml:space="preserve">Red colour</t>
  </si>
  <si>
    <t xml:space="preserve">rag_color_Amber</t>
  </si>
  <si>
    <t xml:space="preserve">#D69E2E</t>
  </si>
  <si>
    <t xml:space="preserve">Amber colour</t>
  </si>
  <si>
    <t xml:space="preserve">rag_color_Green</t>
  </si>
  <si>
    <t xml:space="preserve">#2F855A</t>
  </si>
  <si>
    <t xml:space="preserve">Green colour</t>
  </si>
  <si>
    <t xml:space="preserve">rag_color_Black</t>
  </si>
  <si>
    <t xml:space="preserve">#1A202C</t>
  </si>
  <si>
    <t xml:space="preserve">Optional retired/closed state colour</t>
  </si>
  <si>
    <t xml:space="preserve">rag_color_Blue</t>
  </si>
  <si>
    <t xml:space="preserve">#2C5282</t>
  </si>
  <si>
    <t xml:space="preserve">Optional watchlist/monitoring state colour</t>
  </si>
  <si>
    <t xml:space="preserve">IMPACT TYPE FORMULAS</t>
  </si>
  <si>
    <t xml:space="preserve">impact_pct_formula</t>
  </si>
  <si>
    <t xml:space="preserve">base * (1 + value * sev / 100)</t>
  </si>
  <si>
    <t xml:space="preserve">Multiplicative percentage</t>
  </si>
  <si>
    <t xml:space="preserve">impact_delta_formula</t>
  </si>
  <si>
    <t xml:space="preserve">base + value * sev</t>
  </si>
  <si>
    <t xml:space="preserve">Additive delta</t>
  </si>
  <si>
    <t xml:space="preserve">impact_abs_formula</t>
  </si>
  <si>
    <t xml:space="preserve">value * sev</t>
  </si>
  <si>
    <t xml:space="preserve">Absolute replacement</t>
  </si>
  <si>
    <t xml:space="preserve">impact_ratio_formula</t>
  </si>
  <si>
    <t xml:space="preserve">Optional custom impact type — define formula to enable</t>
  </si>
  <si>
    <t xml:space="preserve">impact_step_formula</t>
  </si>
  <si>
    <t xml:space="preserve">Optional custom impact type</t>
  </si>
  <si>
    <t xml:space="preserve">MACRO OVERLAY: CEDI/USD</t>
  </si>
  <si>
    <t xml:space="preserve">overlay_cedi_label</t>
  </si>
  <si>
    <t xml:space="preserve">Cedi devaluation %</t>
  </si>
  <si>
    <t xml:space="preserve">MACRO OVERLAY</t>
  </si>
  <si>
    <t xml:space="preserve">Slider label</t>
  </si>
  <si>
    <t xml:space="preserve">overlay_cedi_min</t>
  </si>
  <si>
    <t xml:space="preserve">-30</t>
  </si>
  <si>
    <t xml:space="preserve">Slider min (negative = Cedi weaker)</t>
  </si>
  <si>
    <t xml:space="preserve">overlay_cedi_max</t>
  </si>
  <si>
    <t xml:space="preserve">20</t>
  </si>
  <si>
    <t xml:space="preserve">Slider max (positive = Cedi stronger)</t>
  </si>
  <si>
    <t xml:space="preserve">overlay_cedi_unit</t>
  </si>
  <si>
    <t xml:space="preserve">%</t>
  </si>
  <si>
    <t xml:space="preserve">Unit suffix</t>
  </si>
  <si>
    <t xml:space="preserve">overlay_cedi_kpis</t>
  </si>
  <si>
    <t xml:space="preserve">FIN01:0.30,FIN02:0.40,FIN03:0.10:pp,OPS08:0.50,EXT03:-1.0,EXT04:1.5:pp,EXT01:-0.4:pp</t>
  </si>
  <si>
    <t xml:space="preserve">&lt;KPI&gt;:&lt;coef&gt;[:&lt;mode&gt;] pairs. Negative coef means KPI moves opposite to Cedi appreciation.</t>
  </si>
  <si>
    <t xml:space="preserve">MACRO OVERLAY: INFLATION</t>
  </si>
  <si>
    <t xml:space="preserve">overlay_inflation_label</t>
  </si>
  <si>
    <t xml:space="preserve">Ghana inflation %</t>
  </si>
  <si>
    <t xml:space="preserve">overlay_inflation_min</t>
  </si>
  <si>
    <t xml:space="preserve">0</t>
  </si>
  <si>
    <t xml:space="preserve">Slider min</t>
  </si>
  <si>
    <t xml:space="preserve">overlay_inflation_max</t>
  </si>
  <si>
    <t xml:space="preserve">30</t>
  </si>
  <si>
    <t xml:space="preserve">Slider max</t>
  </si>
  <si>
    <t xml:space="preserve">overlay_inflation_unit</t>
  </si>
  <si>
    <t xml:space="preserve">overlay_inflation_kpis</t>
  </si>
  <si>
    <t xml:space="preserve">FIN03:-0.12:pp,FIN13:0.18:pct,OPS08:-0.25:pct,FIN02:-0.20:pct,EXT02:0.30:pp</t>
  </si>
  <si>
    <t xml:space="preserve">Inflation overlay — affects margin, opex, ARPU, policy rate</t>
  </si>
  <si>
    <t xml:space="preserve">MACRO OVERLAY: E-LEVY / MOMO REG</t>
  </si>
  <si>
    <t xml:space="preserve">overlay_elevy_label</t>
  </si>
  <si>
    <t xml:space="preserve">E-levy / MoMo regulatory tightening</t>
  </si>
  <si>
    <t xml:space="preserve">overlay_elevy_min</t>
  </si>
  <si>
    <t xml:space="preserve">Slider min (no impact)</t>
  </si>
  <si>
    <t xml:space="preserve">overlay_elevy_max</t>
  </si>
  <si>
    <t xml:space="preserve">100</t>
  </si>
  <si>
    <t xml:space="preserve">Slider max (severe tightening)</t>
  </si>
  <si>
    <t xml:space="preserve">overlay_elevy_unit</t>
  </si>
  <si>
    <t xml:space="preserve">Unit suffix (% of max impact)</t>
  </si>
  <si>
    <t xml:space="preserve">overlay_elevy_kpis</t>
  </si>
  <si>
    <t xml:space="preserve">SEG03:-0.30,SEG04:-0.05:pp,OPS04:-0.20,LED04:-0.40,FIN02:-0.06</t>
  </si>
  <si>
    <t xml:space="preserve">MoMo regulatory headwind — affects MoMo revenue, share, users, transactions</t>
  </si>
  <si>
    <t xml:space="preserve">USAGE NOTES</t>
  </si>
  <si>
    <t xml:space="preserve">• Edit any Value column entry and reload the dashboard for changes to apply.</t>
  </si>
  <si>
    <t xml:space="preserve">• Clear a Value cell to restore auto-selection (highest-impact KPI for tile / waterfall anchors).</t>
  </si>
  <si>
    <t xml:space="preserve">• Multi-KPI settings use comma-separated KPI IDs (no spaces required).</t>
  </si>
  <si>
    <t xml:space="preserve">• KPI IDs must match those defined in the 'Base Case' sheet exactly.</t>
  </si>
  <si>
    <t xml:space="preserve">• Macro overlay KPI mappings use &lt;KPI_ID&gt;:&lt;coefficient&gt; or &lt;KPI_ID&gt;:&lt;coefficient&gt;:&lt;mode&gt; format.</t>
  </si>
  <si>
    <t xml:space="preserve">• Mode is 'pp' (additive percentage points), 'pct' (multiplicative %), or 'auto' (default).</t>
  </si>
  <si>
    <t xml:space="preserve">DATA QUALITY MONITOR — MTN Ghana</t>
  </si>
  <si>
    <t xml:space="preserve">Live validation across all source sheets. Resolve all RED items before relying on the dashboard.</t>
  </si>
  <si>
    <t xml:space="preserve">Check</t>
  </si>
  <si>
    <t xml:space="preserve">Sheet</t>
  </si>
  <si>
    <t xml:space="preserve">Result</t>
  </si>
  <si>
    <t xml:space="preserve">Severity</t>
  </si>
  <si>
    <t xml:space="preserve">Action if failing</t>
  </si>
  <si>
    <t xml:space="preserve">BASE CASE</t>
  </si>
  <si>
    <t xml:space="preserve">Invalid KPI IDs (must be uppercase)</t>
  </si>
  <si>
    <t xml:space="preserve">BLOCKER</t>
  </si>
  <si>
    <t xml:space="preserve">KPI IDs must be uppercase letters + digits (e.g. FIN01, OPS21). Lowercase or spaces break references.</t>
  </si>
  <si>
    <t xml:space="preserve">Duplicate KPI IDs</t>
  </si>
  <si>
    <t xml:space="preserve">Each KPI ID must be unique.</t>
  </si>
  <si>
    <t xml:space="preserve">Non-numeric base values</t>
  </si>
  <si>
    <t xml:space="preserve">Base values must be numeric.</t>
  </si>
  <si>
    <t xml:space="preserve">Missing units</t>
  </si>
  <si>
    <t xml:space="preserve">WARN</t>
  </si>
  <si>
    <t xml:space="preserve">Without a unit, values fall back to plain numbers in formatting.</t>
  </si>
  <si>
    <t xml:space="preserve">SCENARIO LIBRARY</t>
  </si>
  <si>
    <t xml:space="preserve">Orphan KPI references (not in Base Case)</t>
  </si>
  <si>
    <t xml:space="preserve">KPI IDs in scenario impacts must exist in Base Case.</t>
  </si>
  <si>
    <t xml:space="preserve">Invalid impact types</t>
  </si>
  <si>
    <t xml:space="preserve">Impact type must be 'pct', 'delta', or 'abs' (or a custom type defined in Dashboard Config).</t>
  </si>
  <si>
    <t xml:space="preserve">Non-numeric impact values</t>
  </si>
  <si>
    <t xml:space="preserve">Impact values must be numeric.</t>
  </si>
  <si>
    <t xml:space="preserve">FILE &amp; SHEET INTEGRITY</t>
  </si>
  <si>
    <t xml:space="preserve">Required sheets missing</t>
  </si>
  <si>
    <t xml:space="preserve">Workbook</t>
  </si>
  <si>
    <t xml:space="preserve">A required sheet has been renamed or deleted.</t>
  </si>
  <si>
    <t xml:space="preserve">Ghana data sheets present</t>
  </si>
  <si>
    <t xml:space="preserve">Underlying Ghana datasets — without these, Base Case lookups break.</t>
  </si>
  <si>
    <t xml:space="preserve">Config keys missing</t>
  </si>
  <si>
    <t xml:space="preserve">Dashboard Config</t>
  </si>
  <si>
    <t xml:space="preserve">Key configuration settings missing — dashboard may use built-in defaults.</t>
  </si>
  <si>
    <t xml:space="preserve">SUMMARY</t>
  </si>
  <si>
    <t xml:space="preserve">Total BLOCKER issues</t>
  </si>
  <si>
    <t xml:space="preserve">Total WARN issues</t>
  </si>
  <si>
    <t xml:space="preserve">Risk Category</t>
  </si>
  <si>
    <t xml:space="preserve">Sub-risk / Theme</t>
  </si>
  <si>
    <t xml:space="preserve">KRI</t>
  </si>
  <si>
    <t xml:space="preserve">Type</t>
  </si>
  <si>
    <t xml:space="preserve">Unit</t>
  </si>
  <si>
    <t xml:space="preserve">Frequency</t>
  </si>
  <si>
    <t xml:space="preserve">Owner</t>
  </si>
  <si>
    <t xml:space="preserve">GREEN threshold</t>
  </si>
  <si>
    <t xml:space="preserve">AMBER threshold</t>
  </si>
  <si>
    <t xml:space="preserve">RED threshold</t>
  </si>
  <si>
    <t xml:space="preserve">FY25 Actual / Latest</t>
  </si>
  <si>
    <t xml:space="preserve">RAG Status</t>
  </si>
  <si>
    <t xml:space="preserve">Trend vs PY</t>
  </si>
  <si>
    <t xml:space="preserve">Data source</t>
  </si>
  <si>
    <t xml:space="preserve">Mitigation / Response</t>
  </si>
  <si>
    <t xml:space="preserve">Service Revenue Growth YoY</t>
  </si>
  <si>
    <t xml:space="preserve">Lagging</t>
  </si>
  <si>
    <t xml:space="preserve">Quarterly</t>
  </si>
  <si>
    <t xml:space="preserve">Risk Manager</t>
  </si>
  <si>
    <t xml:space="preserve">&gt;25</t>
  </si>
  <si>
    <t xml:space="preserve">15-25</t>
  </si>
  <si>
    <t xml:space="preserve">&lt;15</t>
  </si>
  <si>
    <t xml:space="preserve">Amber</t>
  </si>
  <si>
    <t xml:space="preserve">→</t>
  </si>
  <si>
    <t xml:space="preserve">Annual.Service_Rev_Growth_Pct</t>
  </si>
  <si>
    <t xml:space="preserve">Standard mitigation set</t>
  </si>
  <si>
    <t xml:space="preserve">EBITDA Margin</t>
  </si>
  <si>
    <t xml:space="preserve">&gt;55</t>
  </si>
  <si>
    <t xml:space="preserve">50-55</t>
  </si>
  <si>
    <t xml:space="preserve">&lt;50</t>
  </si>
  <si>
    <t xml:space="preserve">Annual.EBITDA_Margin_Pct</t>
  </si>
  <si>
    <t xml:space="preserve">EBITDA Growth YoY</t>
  </si>
  <si>
    <t xml:space="preserve">Annual.EBITDA_Growth_Pct</t>
  </si>
  <si>
    <t xml:space="preserve">PAT Growth YoY</t>
  </si>
  <si>
    <t xml:space="preserve">&gt;30</t>
  </si>
  <si>
    <t xml:space="preserve">20-30</t>
  </si>
  <si>
    <t xml:space="preserve">&lt;20</t>
  </si>
  <si>
    <t xml:space="preserve">Annual.PAT_Growth_Pct</t>
  </si>
  <si>
    <t xml:space="preserve">PAT Margin</t>
  </si>
  <si>
    <t xml:space="preserve">20-25</t>
  </si>
  <si>
    <t xml:space="preserve">Annual.PAT_Margin_Pct</t>
  </si>
  <si>
    <t xml:space="preserve">Cost vs Revenue Growth Ratio</t>
  </si>
  <si>
    <t xml:space="preserve">&lt;80</t>
  </si>
  <si>
    <t xml:space="preserve">80-100</t>
  </si>
  <si>
    <t xml:space="preserve">&gt;100</t>
  </si>
  <si>
    <t xml:space="preserve">—</t>
  </si>
  <si>
    <t xml:space="preserve">Derived_Ratios.Cost_Revenue_Ratio</t>
  </si>
  <si>
    <t xml:space="preserve">Capex Intensity</t>
  </si>
  <si>
    <t xml:space="preserve">15-20 or 25-30</t>
  </si>
  <si>
    <t xml:space="preserve">&lt;15 or &gt;30</t>
  </si>
  <si>
    <t xml:space="preserve">Annual.Capex_Intensity_Pct</t>
  </si>
  <si>
    <t xml:space="preserve">EPS Growth YoY</t>
  </si>
  <si>
    <t xml:space="preserve">Annual.EPS_Growth_Pct</t>
  </si>
  <si>
    <t xml:space="preserve">Segment</t>
  </si>
  <si>
    <t xml:space="preserve">Data Revenue Growth</t>
  </si>
  <si>
    <t xml:space="preserve">&gt;40</t>
  </si>
  <si>
    <t xml:space="preserve">25-40</t>
  </si>
  <si>
    <t xml:space="preserve">&lt;25</t>
  </si>
  <si>
    <t xml:space="preserve">Segments_Annual.Data_Growth_Pct</t>
  </si>
  <si>
    <t xml:space="preserve">Data Share of Revenue</t>
  </si>
  <si>
    <t xml:space="preserve">&gt;50</t>
  </si>
  <si>
    <t xml:space="preserve">45-50</t>
  </si>
  <si>
    <t xml:space="preserve">&lt;45</t>
  </si>
  <si>
    <t xml:space="preserve">Segments_Annual.Data_Share_Pct</t>
  </si>
  <si>
    <t xml:space="preserve">MoMo Revenue Growth</t>
  </si>
  <si>
    <t xml:space="preserve">&gt;35</t>
  </si>
  <si>
    <t xml:space="preserve">20-35</t>
  </si>
  <si>
    <t xml:space="preserve">Segments_Annual.MoMo_Growth_Pct</t>
  </si>
  <si>
    <t xml:space="preserve">MoMo Share of Revenue</t>
  </si>
  <si>
    <t xml:space="preserve">&gt;24</t>
  </si>
  <si>
    <t xml:space="preserve">20-24</t>
  </si>
  <si>
    <t xml:space="preserve">Segments_Annual.MoMo_Share_Pct</t>
  </si>
  <si>
    <t xml:space="preserve">Voice Revenue Growth</t>
  </si>
  <si>
    <t xml:space="preserve">&gt;5</t>
  </si>
  <si>
    <t xml:space="preserve">-5 to 5</t>
  </si>
  <si>
    <t xml:space="preserve">&lt;-5</t>
  </si>
  <si>
    <t xml:space="preserve">Segments_Annual.Voice_Growth_Pct</t>
  </si>
  <si>
    <t xml:space="preserve">Digital Revenue Growth</t>
  </si>
  <si>
    <t xml:space="preserve">30-50</t>
  </si>
  <si>
    <t xml:space="preserve">&lt;30</t>
  </si>
  <si>
    <t xml:space="preserve">Segments_Annual.Digital_Growth_Pct</t>
  </si>
  <si>
    <t xml:space="preserve">Digital Share of Revenue</t>
  </si>
  <si>
    <t xml:space="preserve">&gt;2</t>
  </si>
  <si>
    <t xml:space="preserve">1-2</t>
  </si>
  <si>
    <t xml:space="preserve">&lt;1</t>
  </si>
  <si>
    <t xml:space="preserve">Segments_Annual.Digital_Share_Pct</t>
  </si>
  <si>
    <t xml:space="preserve">Subscriber Growth YoY</t>
  </si>
  <si>
    <t xml:space="preserve">2-5</t>
  </si>
  <si>
    <t xml:space="preserve">&lt;2</t>
  </si>
  <si>
    <t xml:space="preserve">Operational_Annual.Subs_Growth_Pct</t>
  </si>
  <si>
    <t xml:space="preserve">Data Subscriber Growth</t>
  </si>
  <si>
    <t xml:space="preserve">&gt;10</t>
  </si>
  <si>
    <t xml:space="preserve">5-10</t>
  </si>
  <si>
    <t xml:space="preserve">&lt;5</t>
  </si>
  <si>
    <t xml:space="preserve">Operational_Annual.Data_Subs_Growth_Pct</t>
  </si>
  <si>
    <t xml:space="preserve">MoMo User Growth</t>
  </si>
  <si>
    <t xml:space="preserve">Operational_Annual.MoMo_Growth_Pct</t>
  </si>
  <si>
    <t xml:space="preserve">Data Usage per User GB</t>
  </si>
  <si>
    <t xml:space="preserve">GB</t>
  </si>
  <si>
    <t xml:space="preserve">7-10</t>
  </si>
  <si>
    <t xml:space="preserve">&lt;7</t>
  </si>
  <si>
    <t xml:space="preserve">Operational_Annual.Data_Usage_GB_Annual</t>
  </si>
  <si>
    <t xml:space="preserve">4G Population Coverage</t>
  </si>
  <si>
    <t xml:space="preserve">&gt;95</t>
  </si>
  <si>
    <t xml:space="preserve">90-95</t>
  </si>
  <si>
    <t xml:space="preserve">&lt;90</t>
  </si>
  <si>
    <t xml:space="preserve">Operational_Annual.4G_Coverage_Pct</t>
  </si>
  <si>
    <t xml:space="preserve">Leading</t>
  </si>
  <si>
    <t xml:space="preserve">CAC Trend</t>
  </si>
  <si>
    <t xml:space="preserve">GHS</t>
  </si>
  <si>
    <t xml:space="preserve">&lt;70</t>
  </si>
  <si>
    <t xml:space="preserve">70-80</t>
  </si>
  <si>
    <t xml:space="preserve">&gt;80</t>
  </si>
  <si>
    <t xml:space="preserve">Leading_Indicators.CAC_Proxy_GHS</t>
  </si>
  <si>
    <t xml:space="preserve">Network Utilization</t>
  </si>
  <si>
    <t xml:space="preserve">&lt;75</t>
  </si>
  <si>
    <t xml:space="preserve">75-85</t>
  </si>
  <si>
    <t xml:space="preserve">&gt;85</t>
  </si>
  <si>
    <t xml:space="preserve">Leading_Indicators.Network_Utilization_Pct</t>
  </si>
  <si>
    <t xml:space="preserve">Data Session Failure</t>
  </si>
  <si>
    <t xml:space="preserve">Leading_Indicators.Data_Session_Failure_Pct</t>
  </si>
  <si>
    <t xml:space="preserve">MoMo Transactions per User</t>
  </si>
  <si>
    <t xml:space="preserve">count</t>
  </si>
  <si>
    <t xml:space="preserve">&gt;60</t>
  </si>
  <si>
    <t xml:space="preserve">40-60</t>
  </si>
  <si>
    <t xml:space="preserve">&lt;40</t>
  </si>
  <si>
    <t xml:space="preserve">Leading_Indicators.MoMo_Trans_Per_User_Monthly</t>
  </si>
  <si>
    <t xml:space="preserve">SIM Activation Index</t>
  </si>
  <si>
    <t xml:space="preserve">index</t>
  </si>
  <si>
    <t xml:space="preserve">&gt;140</t>
  </si>
  <si>
    <t xml:space="preserve">120-140</t>
  </si>
  <si>
    <t xml:space="preserve">&lt;120</t>
  </si>
  <si>
    <t xml:space="preserve">Leading_Indicators.SIM_Activation_Index</t>
  </si>
  <si>
    <t xml:space="preserve">Working Capital Days</t>
  </si>
  <si>
    <t xml:space="preserve">days</t>
  </si>
  <si>
    <t xml:space="preserve">30-40</t>
  </si>
  <si>
    <t xml:space="preserve">Leading_Indicators.Working_Capital_Days</t>
  </si>
  <si>
    <t xml:space="preserve">Cedi-USD Stability</t>
  </si>
  <si>
    <t xml:space="preserve">%_chg</t>
  </si>
  <si>
    <t xml:space="preserve">&lt;10</t>
  </si>
  <si>
    <t xml:space="preserve">10-20</t>
  </si>
  <si>
    <t xml:space="preserve">&gt;20</t>
  </si>
  <si>
    <t xml:space="preserve">Macro_Context.Cedi_USD_YoY_Change</t>
  </si>
  <si>
    <t xml:space="preserve">Inflation YoY</t>
  </si>
  <si>
    <t xml:space="preserve">Macro_Context.Inflation_YoY_Pct</t>
  </si>
  <si>
    <t xml:space="preserve">MTN GHANA — FY25 BASE CASE KPIs</t>
  </si>
  <si>
    <t xml:space="preserve">Baseline values used as the starting point for all stress, shock and combined scenarios. Sourced from FY25 Annual / Operational / Segments sheets.</t>
  </si>
  <si>
    <t xml:space="preserve">KPI ID</t>
  </si>
  <si>
    <t xml:space="preserve">Category</t>
  </si>
  <si>
    <t xml:space="preserve">KPI</t>
  </si>
  <si>
    <t xml:space="preserve">FY25 Base Value</t>
  </si>
  <si>
    <t xml:space="preserve">Direction (improvement)</t>
  </si>
  <si>
    <t xml:space="preserve">Notes</t>
  </si>
  <si>
    <t xml:space="preserve">Service revenue (GHSm)</t>
  </si>
  <si>
    <t xml:space="preserve">GHSm</t>
  </si>
  <si>
    <t xml:space="preserve">higher</t>
  </si>
  <si>
    <t xml:space="preserve">FY25 audited</t>
  </si>
  <si>
    <t xml:space="preserve">FIN02</t>
  </si>
  <si>
    <t xml:space="preserve">EBITDA (GHSm)</t>
  </si>
  <si>
    <t xml:space="preserve">EBITDA margin (%)</t>
  </si>
  <si>
    <t xml:space="preserve">FY25 — expanded from 57.1% in FY24</t>
  </si>
  <si>
    <t xml:space="preserve">FIN04</t>
  </si>
  <si>
    <t xml:space="preserve">PAT (GHSm)</t>
  </si>
  <si>
    <t xml:space="preserve">FY25 audited profit after tax</t>
  </si>
  <si>
    <t xml:space="preserve">FIN05</t>
  </si>
  <si>
    <t xml:space="preserve">PAT margin (%)</t>
  </si>
  <si>
    <t xml:space="preserve">FY25</t>
  </si>
  <si>
    <t xml:space="preserve">FIN06</t>
  </si>
  <si>
    <t xml:space="preserve">Service revenue growth YoY (%)</t>
  </si>
  <si>
    <t xml:space="preserve">FY25 vs FY24 audited</t>
  </si>
  <si>
    <t xml:space="preserve">FIN07</t>
  </si>
  <si>
    <t xml:space="preserve">EBITDA growth YoY (%)</t>
  </si>
  <si>
    <t xml:space="preserve">FY25 vs FY24</t>
  </si>
  <si>
    <t xml:space="preserve">FIN08</t>
  </si>
  <si>
    <t xml:space="preserve">EPS (GHS)</t>
  </si>
  <si>
    <t xml:space="preserve">FIN09</t>
  </si>
  <si>
    <t xml:space="preserve">Dividend per share (GHS)</t>
  </si>
  <si>
    <t xml:space="preserve">FIN10</t>
  </si>
  <si>
    <t xml:space="preserve">Capex (GHSm)</t>
  </si>
  <si>
    <t xml:space="preserve">FY25 — supporting infrastructure investment</t>
  </si>
  <si>
    <t xml:space="preserve">FIN11</t>
  </si>
  <si>
    <t xml:space="preserve">Capex intensity (%)</t>
  </si>
  <si>
    <t xml:space="preserve">Capex / revenue, FY25</t>
  </si>
  <si>
    <t xml:space="preserve">FIN12</t>
  </si>
  <si>
    <t xml:space="preserve">Total assets (GHSm)</t>
  </si>
  <si>
    <t xml:space="preserve">FY25 balance sheet</t>
  </si>
  <si>
    <t xml:space="preserve">FIN13</t>
  </si>
  <si>
    <t xml:space="preserve">Total opex (GHSm)</t>
  </si>
  <si>
    <t xml:space="preserve">lower</t>
  </si>
  <si>
    <t xml:space="preserve">FY25 — note 7.7% growth vs 36.2% rev growth</t>
  </si>
  <si>
    <t xml:space="preserve">SEG01</t>
  </si>
  <si>
    <t xml:space="preserve">Data revenue (GHSm)</t>
  </si>
  <si>
    <t xml:space="preserve">FY25 — 6.9% growth</t>
  </si>
  <si>
    <t xml:space="preserve">Data share of revenue (%)</t>
  </si>
  <si>
    <t xml:space="preserve">FY25 — strongest segment</t>
  </si>
  <si>
    <t xml:space="preserve">SEG03</t>
  </si>
  <si>
    <t xml:space="preserve">MoMo revenue (GHSm)</t>
  </si>
  <si>
    <t xml:space="preserve">FY25 — declined 7.5% (e-levy headwind eased)</t>
  </si>
  <si>
    <t xml:space="preserve">SEG04</t>
  </si>
  <si>
    <t xml:space="preserve">MoMo share of revenue (%)</t>
  </si>
  <si>
    <t xml:space="preserve">SEG05</t>
  </si>
  <si>
    <t xml:space="preserve">Voice revenue (GHSm)</t>
  </si>
  <si>
    <t xml:space="preserve">FY25 — recovery vs FY24</t>
  </si>
  <si>
    <t xml:space="preserve">SEG06</t>
  </si>
  <si>
    <t xml:space="preserve">Digital revenue (GHSm)</t>
  </si>
  <si>
    <t xml:space="preserve">FY25 — declined post peak</t>
  </si>
  <si>
    <t xml:space="preserve">OPS01</t>
  </si>
  <si>
    <t xml:space="preserve">Total subscribers (m)</t>
  </si>
  <si>
    <t xml:space="preserve">m</t>
  </si>
  <si>
    <t xml:space="preserve">FY25 closing — 9.5% growth</t>
  </si>
  <si>
    <t xml:space="preserve">OPS02</t>
  </si>
  <si>
    <t xml:space="preserve">Active data subscribers (m)</t>
  </si>
  <si>
    <t xml:space="preserve">FY25 closing</t>
  </si>
  <si>
    <t xml:space="preserve">OPS03</t>
  </si>
  <si>
    <t xml:space="preserve">Data penetration (%)</t>
  </si>
  <si>
    <t xml:space="preserve">Data subs / total subs</t>
  </si>
  <si>
    <t xml:space="preserve">OPS04</t>
  </si>
  <si>
    <t xml:space="preserve">Active MoMo users (m)</t>
  </si>
  <si>
    <t xml:space="preserve">FY25 — 12.2% growth</t>
  </si>
  <si>
    <t xml:space="preserve">OPS05</t>
  </si>
  <si>
    <t xml:space="preserve">Data usage per user (GB)</t>
  </si>
  <si>
    <t xml:space="preserve">FY25 — up from 9.8GB in FY24</t>
  </si>
  <si>
    <t xml:space="preserve">OPS06</t>
  </si>
  <si>
    <t xml:space="preserve">4G population coverage (%)</t>
  </si>
  <si>
    <t xml:space="preserve">Near-universal coverage</t>
  </si>
  <si>
    <t xml:space="preserve">OPS07</t>
  </si>
  <si>
    <t xml:space="preserve">Network sites (count)</t>
  </si>
  <si>
    <t xml:space="preserve">FY25 — 8,650 sites</t>
  </si>
  <si>
    <t xml:space="preserve">Average ARPU (GHS)</t>
  </si>
  <si>
    <t xml:space="preserve">FY25 — affected by FX appreciation</t>
  </si>
  <si>
    <t xml:space="preserve">OPS09</t>
  </si>
  <si>
    <t xml:space="preserve">Subscriber growth YoY (%)</t>
  </si>
  <si>
    <t xml:space="preserve">Strongest in 5-year period</t>
  </si>
  <si>
    <t xml:space="preserve">LED01</t>
  </si>
  <si>
    <t xml:space="preserve">Data session failure (%)</t>
  </si>
  <si>
    <t xml:space="preserve">Q4 25 — improving trend</t>
  </si>
  <si>
    <t xml:space="preserve">LED02</t>
  </si>
  <si>
    <t xml:space="preserve">Network utilization (%)</t>
  </si>
  <si>
    <t xml:space="preserve">Q4 25 — capacity headroom</t>
  </si>
  <si>
    <t xml:space="preserve">LED03</t>
  </si>
  <si>
    <t xml:space="preserve">CAC proxy (GHS)</t>
  </si>
  <si>
    <t xml:space="preserve">Q4 25 — declining (good)</t>
  </si>
  <si>
    <t xml:space="preserve">LED04</t>
  </si>
  <si>
    <t xml:space="preserve">MoMo transactions per user/mo</t>
  </si>
  <si>
    <t xml:space="preserve">Q4 25</t>
  </si>
  <si>
    <t xml:space="preserve">LED05</t>
  </si>
  <si>
    <t xml:space="preserve">SIM activation index</t>
  </si>
  <si>
    <t xml:space="preserve">Indexed to 2020Q1 = 100</t>
  </si>
  <si>
    <t xml:space="preserve">LED06</t>
  </si>
  <si>
    <t xml:space="preserve">Working capital days</t>
  </si>
  <si>
    <t xml:space="preserve">EXT01</t>
  </si>
  <si>
    <t xml:space="preserve">Inflation YoY (%)</t>
  </si>
  <si>
    <t xml:space="preserve">FY25 — sharp drop from 23.8% to 5.4%</t>
  </si>
  <si>
    <t xml:space="preserve">EXT02</t>
  </si>
  <si>
    <t xml:space="preserve">BoG policy rate (%)</t>
  </si>
  <si>
    <t xml:space="preserve">FY25 year-end</t>
  </si>
  <si>
    <t xml:space="preserve">EXT03</t>
  </si>
  <si>
    <t xml:space="preserve">Cedi/USD rate (avg)</t>
  </si>
  <si>
    <t xml:space="preserve">GHS/USD</t>
  </si>
  <si>
    <t xml:space="preserve">FY25 — Cedi appreciated</t>
  </si>
  <si>
    <t xml:space="preserve">EXT04</t>
  </si>
  <si>
    <t xml:space="preserve">Cedi YoY change vs USD (%)</t>
  </si>
  <si>
    <t xml:space="preserve">FY25 — +21.6% appreciation</t>
  </si>
  <si>
    <t xml:space="preserve">EXT05</t>
  </si>
  <si>
    <t xml:space="preserve">Ghana GDP growth (%)</t>
  </si>
  <si>
    <t xml:space="preserve">FY25 macro tailwind</t>
  </si>
  <si>
    <t xml:space="preserve">EXT06</t>
  </si>
  <si>
    <t xml:space="preserve">Mobile penetration (%)</t>
  </si>
  <si>
    <t xml:space="preserve">Market context</t>
  </si>
  <si>
    <t xml:space="preserve">SCENARIO LIBRARY — Stress, Shock, Reverse &amp; Combined (Ghana-calibrated)</t>
  </si>
  <si>
    <t xml:space="preserve">Each scenario defines impact multipliers / deltas on Base Case KPIs.</t>
  </si>
  <si>
    <t xml:space="preserve">Scenario ID</t>
  </si>
  <si>
    <t xml:space="preserve">Scenario</t>
  </si>
  <si>
    <t xml:space="preserve">Impact type</t>
  </si>
  <si>
    <t xml:space="preserve">Impact value</t>
  </si>
  <si>
    <t xml:space="preserve">Plausibility (1-5)</t>
  </si>
  <si>
    <t xml:space="preserve">Severity (1-5)</t>
  </si>
  <si>
    <t xml:space="preserve">Recovery (qtrs)</t>
  </si>
  <si>
    <t xml:space="preserve">Mitigation lever</t>
  </si>
  <si>
    <t xml:space="preserve">S01</t>
  </si>
  <si>
    <t xml:space="preserve">Stress</t>
  </si>
  <si>
    <t xml:space="preserve">Cedi devaluation -25%</t>
  </si>
  <si>
    <t xml:space="preserve">Ghana Cedi depreciates 25% vs USD sustained 12 months — reverses FY25 tailwind</t>
  </si>
  <si>
    <t xml:space="preserve">pct</t>
  </si>
  <si>
    <t xml:space="preserve">Naturally-hedge USD payables; accelerate USD pricing; renegotiate tower lease escalators</t>
  </si>
  <si>
    <t xml:space="preserve">delta</t>
  </si>
  <si>
    <t xml:space="preserve">S02</t>
  </si>
  <si>
    <t xml:space="preserve">Inflation resurgence to 25%</t>
  </si>
  <si>
    <t xml:space="preserve">Macro deterioration: inflation back to 23%+, policy rate to 28%, consumer purchasing power erodes</t>
  </si>
  <si>
    <t xml:space="preserve">abs</t>
  </si>
  <si>
    <t xml:space="preserve">Tariff increases timed with regulator; cost-out programme; postpaid mix shift</t>
  </si>
  <si>
    <t xml:space="preserve">S03</t>
  </si>
  <si>
    <t xml:space="preserve">MoMo regulatory tightening</t>
  </si>
  <si>
    <t xml:space="preserve">E-levy raised back to 1.5%, BoG caps transaction limits, agent commissions capped</t>
  </si>
  <si>
    <t xml:space="preserve">Tier-down product portfolio; cross-border remittance focus; lobby for proportionate regulation</t>
  </si>
  <si>
    <t xml:space="preserve">S04</t>
  </si>
  <si>
    <t xml:space="preserve">Sovereign debt distress / repatriation freeze</t>
  </si>
  <si>
    <t xml:space="preserve">Ghana sovereign credit deterioration; BoG restricts FX repatriation; dividend upstreaming blocked</t>
  </si>
  <si>
    <t xml:space="preserve">Local-currency funding; capital-equipment imports; dividend smoothing</t>
  </si>
  <si>
    <t xml:space="preserve">S05</t>
  </si>
  <si>
    <t xml:space="preserve">Energy cost shock</t>
  </si>
  <si>
    <t xml:space="preserve">Electricity tariff +40% sustained; ECG load-shedding intensifies; diesel costs rise</t>
  </si>
  <si>
    <t xml:space="preserve">Solar/hybrid site rollout; PPAs with IPPs; battery hardening</t>
  </si>
  <si>
    <t xml:space="preserve">S06</t>
  </si>
  <si>
    <t xml:space="preserve">Shock</t>
  </si>
  <si>
    <t xml:space="preserve">Major cyber breach — 5-day MoMo outage</t>
  </si>
  <si>
    <t xml:space="preserve">Sev-1 ransomware attack on MoMo platform; 5-day customer-facing outage; data exfiltration</t>
  </si>
  <si>
    <t xml:space="preserve">Incident response retainer; cyber-insurance activation; BCM plan; regulator/BoG notifications</t>
  </si>
  <si>
    <t xml:space="preserve">S07</t>
  </si>
  <si>
    <t xml:space="preserve">Spectrum licence dispute</t>
  </si>
  <si>
    <t xml:space="preserve">NCA disputes spectrum renewal terms; service degradation in 4G capacity-constrained areas</t>
  </si>
  <si>
    <t xml:space="preserve">Engage NCA pre-emptively; co-build with sector peers; tech-neutral licensing</t>
  </si>
  <si>
    <t xml:space="preserve">S08</t>
  </si>
  <si>
    <t xml:space="preserve">Major flood / climate event</t>
  </si>
  <si>
    <t xml:space="preserve">Severe flooding in northern Ghana disrupts 300+ sites; supply-chain disruption</t>
  </si>
  <si>
    <t xml:space="preserve">Insurance recovery; site-hardening programme; satellite backhaul backup</t>
  </si>
  <si>
    <t xml:space="preserve">S09</t>
  </si>
  <si>
    <t xml:space="preserve">Mass data privacy breach</t>
  </si>
  <si>
    <t xml:space="preserve">Multi-million-customer data exfiltration; DPA notification; GDPR-style fines possible</t>
  </si>
  <si>
    <t xml:space="preserve">DPO incident response; customer protection programme; comms repair</t>
  </si>
  <si>
    <t xml:space="preserve">S10</t>
  </si>
  <si>
    <t xml:space="preserve">Competitive intensification</t>
  </si>
  <si>
    <t xml:space="preserve">AirtelTigo aggressive price reset + new MVNO entry; ARPU pressure</t>
  </si>
  <si>
    <t xml:space="preserve">Loyalty programmes; bundled value plays; data quality differentiation</t>
  </si>
  <si>
    <t xml:space="preserve">Combined</t>
  </si>
  <si>
    <t xml:space="preserve">Ghana macro reversal</t>
  </si>
  <si>
    <t xml:space="preserve">Cedi -20%, inflation back to 18%, policy rate +400bps, GDP slows to 3% — reverses FY25 tailwind</t>
  </si>
  <si>
    <t xml:space="preserve">Multi-vector defence: FX hedge + cost-out + tariff repricing + dividend smoothing</t>
  </si>
  <si>
    <t xml:space="preserve">S12</t>
  </si>
  <si>
    <t xml:space="preserve">Fintech disruption + regulatory pressure</t>
  </si>
  <si>
    <t xml:space="preserve">New BoG framework + bank-led mobile wallets + e-levy increase compounds MoMo headwinds</t>
  </si>
  <si>
    <t xml:space="preserve">Pivot to advanced services (loans, savings, insurance); B2B fintech; cross-border</t>
  </si>
  <si>
    <t xml:space="preserve">S13</t>
  </si>
  <si>
    <t xml:space="preserve">Network capacity crisis + climate</t>
  </si>
  <si>
    <t xml:space="preserve">Spectrum dispute + flood + load-shedding compound; quality of service crisis</t>
  </si>
  <si>
    <t xml:space="preserve">Crisis BCM; emergency spectrum lease; site-hardening + PV programme acceleration</t>
  </si>
  <si>
    <t xml:space="preserve">S14</t>
  </si>
  <si>
    <t xml:space="preserve">Reverse-FY25 — what if tailwinds vanish</t>
  </si>
  <si>
    <t xml:space="preserve">FY25 outperformance reverses: Cedi weakens, inflation rises, opex catches up, no margin expansion</t>
  </si>
  <si>
    <t xml:space="preserve">Defend margin floor; pricing power tests; FX-natural-hedge programme</t>
  </si>
  <si>
    <t xml:space="preserve">Field</t>
  </si>
  <si>
    <t xml:space="preserve">Database Name</t>
  </si>
  <si>
    <t xml:space="preserve">MTN Ghana KRI Database</t>
  </si>
  <si>
    <t xml:space="preserve">Coverage Period</t>
  </si>
  <si>
    <t xml:space="preserve">Q1 2020 – Q4 2025</t>
  </si>
  <si>
    <t xml:space="preserve">Reporting Entity</t>
  </si>
  <si>
    <t xml:space="preserve">Scancom PLC (MTN Ghana) — Ghana Stock Exchange: MTNGH</t>
  </si>
  <si>
    <t xml:space="preserve">Data Sources</t>
  </si>
  <si>
    <t xml:space="preserve">MTN Ghana H1/FY published results, MTN Group quarterly trading updates, GSE filings</t>
  </si>
  <si>
    <t xml:space="preserve">Last Updated</t>
  </si>
  <si>
    <t xml:space="preserve">2026-05-19</t>
  </si>
  <si>
    <t xml:space="preserve">Currency</t>
  </si>
  <si>
    <t xml:space="preserve">GHS millions (financial) | millions (subscribers) | GB (data usage)</t>
  </si>
  <si>
    <t xml:space="preserve">Sheets</t>
  </si>
  <si>
    <t xml:space="preserve">1.README | 2.Quarterly | 3.HalfYearly | 4.Annual | 5.Segments_Quarterly | 6.Segments_Annual | 7.Operational_Quarterly | 8.Operational_Annual | 9.Leading_Indicators | 10.Thresholds | 11.Macro_Context | 12.Derived_Ratios</t>
  </si>
  <si>
    <t xml:space="preserve">Flag Legend</t>
  </si>
  <si>
    <t xml:space="preserve">R=Reported | I=Interpolated | E=Estimated | P=Proxy</t>
  </si>
  <si>
    <t xml:space="preserve">Primary Key</t>
  </si>
  <si>
    <t xml:space="preserve">Period_ID (e.g. 2025Q4</t>
  </si>
  <si>
    <t xml:space="preserve">2025H2</t>
  </si>
  <si>
    <t xml:space="preserve">2025FY)</t>
  </si>
  <si>
    <t xml:space="preserve">HTML Build Note</t>
  </si>
  <si>
    <t xml:space="preserve">All numeric fields are pure numbers (no thousand separators) for direct JSON conversion</t>
  </si>
  <si>
    <t xml:space="preserve">Period_ID</t>
  </si>
  <si>
    <t xml:space="preserve">Year</t>
  </si>
  <si>
    <t xml:space="preserve">Period_Type</t>
  </si>
  <si>
    <t xml:space="preserve">Service_Revenue</t>
  </si>
  <si>
    <t xml:space="preserve">Service_Revenue_Flag</t>
  </si>
  <si>
    <t xml:space="preserve">Service_Rev_Growth_Pct</t>
  </si>
  <si>
    <t xml:space="preserve">EBITDA</t>
  </si>
  <si>
    <t xml:space="preserve">EBITDA_Flag</t>
  </si>
  <si>
    <t xml:space="preserve">EBITDA_Growth_Pct</t>
  </si>
  <si>
    <t xml:space="preserve">EBITDA_Margin_Pct</t>
  </si>
  <si>
    <t xml:space="preserve">PAT</t>
  </si>
  <si>
    <t xml:space="preserve">PAT_Flag</t>
  </si>
  <si>
    <t xml:space="preserve">PAT_Growth_Pct</t>
  </si>
  <si>
    <t xml:space="preserve">PAT_Margin_Pct</t>
  </si>
  <si>
    <t xml:space="preserve">EPS_GHS</t>
  </si>
  <si>
    <t xml:space="preserve">EPS_Growth_Pct</t>
  </si>
  <si>
    <t xml:space="preserve">Total_Opex</t>
  </si>
  <si>
    <t xml:space="preserve">Capex</t>
  </si>
  <si>
    <t xml:space="preserve">Capex_Intensity_Pct</t>
  </si>
  <si>
    <t xml:space="preserve">Dividend_Per_Share_GHS</t>
  </si>
  <si>
    <t xml:space="preserve">Total_Assets</t>
  </si>
  <si>
    <t xml:space="preserve">Total_Liabilities</t>
  </si>
  <si>
    <t xml:space="preserve">2020FY</t>
  </si>
  <si>
    <t xml:space="preserve">Annual</t>
  </si>
  <si>
    <t xml:space="preserve">R</t>
  </si>
  <si>
    <t xml:space="preserve">2021FY</t>
  </si>
  <si>
    <t xml:space="preserve">2022FY</t>
  </si>
  <si>
    <t xml:space="preserve">2023FY</t>
  </si>
  <si>
    <t xml:space="preserve">2024FY</t>
  </si>
  <si>
    <t xml:space="preserve">2025FY</t>
  </si>
  <si>
    <t xml:space="preserve">Half</t>
  </si>
  <si>
    <t xml:space="preserve">EBITDA_Margin_Flag</t>
  </si>
  <si>
    <t xml:space="preserve">EPS_Flag</t>
  </si>
  <si>
    <t xml:space="preserve">Dividend_Flag</t>
  </si>
  <si>
    <t xml:space="preserve">2020H1</t>
  </si>
  <si>
    <t xml:space="preserve">H1</t>
  </si>
  <si>
    <t xml:space="preserve">2020H2</t>
  </si>
  <si>
    <t xml:space="preserve">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</si>
  <si>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</si>
  <si>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</si>
  <si>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</si>
  <si>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</si>
  <si>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</si>
  <si>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</si>
  <si>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</si>
  <si>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</si>
  <si>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</si>
  <si>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Quarter</t>
  </si>
  <si>
    <t xml:space="preserve">Total_Revenue</t>
  </si>
  <si>
    <t xml:space="preserve">Total_Revenue_Flag</t>
  </si>
  <si>
    <t xml:space="preserve">PAT_Margin_Flag</t>
  </si>
  <si>
    <t xml:space="preserve">Opex</t>
  </si>
  <si>
    <t xml:space="preserve">Opex_Flag</t>
  </si>
  <si>
    <t xml:space="preserve">Capex_Flag</t>
  </si>
  <si>
    <t xml:space="preserve">2020Q1</t>
  </si>
  <si>
    <t xml:space="preserve">Q1</t>
  </si>
  <si>
    <t xml:space="preserve">I</t>
  </si>
  <si>
    <t xml:space="preserve">2020Q2</t>
  </si>
  <si>
    <t xml:space="preserve">Q2</t>
  </si>
  <si>
    <t xml:space="preserve">2020Q3</t>
  </si>
  <si>
    <t xml:space="preserve">Q3</t>
  </si>
  <si>
    <t xml:space="preserve">2020Q4</t>
  </si>
  <si>
    <t xml:space="preserve">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</si>
  <si>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</si>
  <si>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</si>
  <si>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</si>
  <si>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</si>
  <si>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</si>
  <si>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</si>
  <si>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</si>
  <si>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</si>
  <si>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</si>
  <si>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</si>
  <si>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</si>
  <si>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</si>
  <si>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</si>
  <si>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</si>
  <si>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</si>
  <si>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</si>
  <si>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</si>
  <si>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</si>
  <si>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</si>
  <si>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E</t>
  </si>
  <si>
    <t xml:space="preserve">2025Q4</t>
  </si>
  <si>
    <t xml:space="preserve">Data_Revenue</t>
  </si>
  <si>
    <t xml:space="preserve">Data_Growth_Pct</t>
  </si>
  <si>
    <t xml:space="preserve">Data_Share_Pct</t>
  </si>
  <si>
    <t xml:space="preserve">Voice_Revenue</t>
  </si>
  <si>
    <t xml:space="preserve">Voice_Growth_Pct</t>
  </si>
  <si>
    <t xml:space="preserve">Voice_Share_Pct</t>
  </si>
  <si>
    <t xml:space="preserve">MoMo_Revenue</t>
  </si>
  <si>
    <t xml:space="preserve">MoMo_Growth_Pct</t>
  </si>
  <si>
    <t xml:space="preserve">MoMo_Share_Pct</t>
  </si>
  <si>
    <t xml:space="preserve">Digital_Revenue</t>
  </si>
  <si>
    <t xml:space="preserve">Digital_Growth_Pct</t>
  </si>
  <si>
    <t xml:space="preserve">Digital_Share_Pct</t>
  </si>
  <si>
    <t xml:space="preserve">SMS_Revenue</t>
  </si>
  <si>
    <t xml:space="preserve">Other_Revenue</t>
  </si>
  <si>
    <t xml:space="preserve">Data_Flag</t>
  </si>
  <si>
    <t xml:space="preserve">Voice_Flag</t>
  </si>
  <si>
    <t xml:space="preserve">MoMo_Flag</t>
  </si>
  <si>
    <t xml:space="preserve">Digital_Flag</t>
  </si>
  <si>
    <t xml:space="preserve">SMS_Flag</t>
  </si>
  <si>
    <t xml:space="preserve">Roaming_Wholesale_Other</t>
  </si>
  <si>
    <t xml:space="preserve">Other_Flag</t>
  </si>
  <si>
    <t xml:space="preserve">Total_Subscribers_M</t>
  </si>
  <si>
    <t xml:space="preserve">Subs_Growth_Pct</t>
  </si>
  <si>
    <t xml:space="preserve">Active_Data_Subs_M</t>
  </si>
  <si>
    <t xml:space="preserve">Data_Subs_Growth_Pct</t>
  </si>
  <si>
    <t xml:space="preserve">Data_Penetration_Pct</t>
  </si>
  <si>
    <t xml:space="preserve">Active_MoMo_Users_M</t>
  </si>
  <si>
    <t xml:space="preserve">MoMo_Penetration_Pct</t>
  </si>
  <si>
    <t xml:space="preserve">Data_Usage_GB_Annual</t>
  </si>
  <si>
    <t xml:space="preserve">Voice_MoU_Annual</t>
  </si>
  <si>
    <t xml:space="preserve">4G_Coverage_Pct</t>
  </si>
  <si>
    <t xml:space="preserve">Network_Sites</t>
  </si>
  <si>
    <t xml:space="preserve">Avg_ARPU_GHS</t>
  </si>
  <si>
    <t xml:space="preserve">Capex_per_Sub_GHS</t>
  </si>
  <si>
    <t xml:space="preserve">Subs_Flag</t>
  </si>
  <si>
    <t xml:space="preserve">Data_Subs_Flag</t>
  </si>
  <si>
    <t xml:space="preserve">MoMo_Users_Flag</t>
  </si>
  <si>
    <t xml:space="preserve">Data_Usage_GB_Per_User</t>
  </si>
  <si>
    <t xml:space="preserve">Usage_Flag</t>
  </si>
  <si>
    <t xml:space="preserve">Voice_MoU_Per_User</t>
  </si>
  <si>
    <t xml:space="preserve">MoU_Flag</t>
  </si>
  <si>
    <t xml:space="preserve">Coverage_Flag</t>
  </si>
  <si>
    <t xml:space="preserve">Sites_Flag</t>
  </si>
  <si>
    <t xml:space="preserve">ARPU_GHS</t>
  </si>
  <si>
    <t xml:space="preserve">ARPU_Flag</t>
  </si>
  <si>
    <t xml:space="preserve">CAC_Proxy_GHS</t>
  </si>
  <si>
    <t xml:space="preserve">CAC_Flag</t>
  </si>
  <si>
    <t xml:space="preserve">Network_Utilization_Pct</t>
  </si>
  <si>
    <t xml:space="preserve">NetUtil_Flag</t>
  </si>
  <si>
    <t xml:space="preserve">Data_Session_Failure_Pct</t>
  </si>
  <si>
    <t xml:space="preserve">DSF_Flag</t>
  </si>
  <si>
    <t xml:space="preserve">MoMo_Trans_Per_User_Monthly</t>
  </si>
  <si>
    <t xml:space="preserve">MoMoTrans_Flag</t>
  </si>
  <si>
    <t xml:space="preserve">SIM_Activation_Index</t>
  </si>
  <si>
    <t xml:space="preserve">SIM_Flag</t>
  </si>
  <si>
    <t xml:space="preserve">Working_Capital_Days</t>
  </si>
  <si>
    <t xml:space="preserve">WC_Flag</t>
  </si>
  <si>
    <t xml:space="preserve">Receivables_Days</t>
  </si>
  <si>
    <t xml:space="preserve">Recv_Flag</t>
  </si>
  <si>
    <t xml:space="preserve">Cedi_USD_Rate_Avg</t>
  </si>
  <si>
    <t xml:space="preserve">FX_Flag</t>
  </si>
  <si>
    <t xml:space="preserve">Inflation_YoY_Pct</t>
  </si>
  <si>
    <t xml:space="preserve">Infl_Flag</t>
  </si>
  <si>
    <t xml:space="preserve">Policy_Rate_Pct</t>
  </si>
  <si>
    <t xml:space="preserve">Rate_Flag</t>
  </si>
  <si>
    <t xml:space="preserve">P</t>
  </si>
  <si>
    <t xml:space="preserve">GDP_Growth_Pct</t>
  </si>
  <si>
    <t xml:space="preserve">Cedi_USD_Avg</t>
  </si>
  <si>
    <t xml:space="preserve">Cedi_USD_YoY_Change_Pct</t>
  </si>
  <si>
    <t xml:space="preserve">Telecom_Sector_GDP_Share_Pct</t>
  </si>
  <si>
    <t xml:space="preserve">Mobile_Penetration_Pct</t>
  </si>
  <si>
    <t xml:space="preserve">Revenue_Growth_YoY_Pct</t>
  </si>
  <si>
    <t xml:space="preserve">Cost_Growth_YoY_Pct</t>
  </si>
  <si>
    <t xml:space="preserve">Cost_Revenue_Ratio_Pct</t>
  </si>
  <si>
    <t xml:space="preserve">Opex_to_Revenue_Pct</t>
  </si>
  <si>
    <t xml:space="preserve">Subs_Growth_YoY_Pct</t>
  </si>
  <si>
    <t xml:space="preserve">MoMo_Subs_Growth_Pct</t>
  </si>
  <si>
    <t xml:space="preserve">Data_Rev_Growth_YoY_Pct</t>
  </si>
  <si>
    <t xml:space="preserve">MoMo_Rev_Growth_YoY_Pct</t>
  </si>
  <si>
    <t xml:space="preserve">Digital_Rev_Growth_YoY_Pct</t>
  </si>
  <si>
    <t xml:space="preserve">Voice_Rev_Growth_YoY_Pct</t>
  </si>
  <si>
    <t xml:space="preserve">ARPU_Growth_YoY_Pct</t>
  </si>
  <si>
    <t xml:space="preserve">Overall_KRI_Score</t>
  </si>
  <si>
    <t xml:space="preserve">Green</t>
  </si>
  <si>
    <t xml:space="preserve">KRI_Category</t>
  </si>
  <si>
    <t xml:space="preserve">KRI_Name</t>
  </si>
  <si>
    <t xml:space="preserve">Green_Threshold</t>
  </si>
  <si>
    <t xml:space="preserve">Amber_Threshold</t>
  </si>
  <si>
    <t xml:space="preserve">Red_Threshold</t>
  </si>
  <si>
    <t xml:space="preserve">Direction</t>
  </si>
  <si>
    <t xml:space="preserve">Indicator_Type</t>
  </si>
  <si>
    <t xml:space="preserve">Source_Sheet</t>
  </si>
  <si>
    <t xml:space="preserve">Source_Field</t>
  </si>
  <si>
    <t xml:space="preserve">Higher_Better</t>
  </si>
  <si>
    <t xml:space="preserve">Lower_Better</t>
  </si>
  <si>
    <t xml:space="preserve">Derived_Ratios</t>
  </si>
  <si>
    <t xml:space="preserve">Cost_Revenue_Ratio</t>
  </si>
  <si>
    <t xml:space="preserve">Range</t>
  </si>
  <si>
    <t xml:space="preserve">Segments_Annual</t>
  </si>
  <si>
    <t xml:space="preserve">Operational_Annual</t>
  </si>
  <si>
    <t xml:space="preserve">Leading_Indicators</t>
  </si>
  <si>
    <t xml:space="preserve">Macro_Context</t>
  </si>
  <si>
    <t xml:space="preserve">Cedi_USD_YoY_Change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</si>
</sst>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2B5C"/>
      <name val="Arial"/>
      <family val="0"/>
      <charset val="1"/>
    </font>
    <font>
      <b val="true"/>
      <sz val="10"/>
      <color rgb="FF002B5C"/>
      <name val="Consolas"/>
      <family val="0"/>
      <charset val="1"/>
    </font>
    <font>
      <b val="true"/>
      <sz val="10"/>
      <name val="Consolas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002B5C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onsolas"/>
      <family val="0"/>
      <charset val="1"/>
    </font>
    <font>
      <b val="true"/>
      <sz val="10"/>
      <color rgb="FF9C0000"/>
      <name val="Arial"/>
      <family val="0"/>
      <charset val="1"/>
    </font>
    <font>
      <b val="true"/>
      <sz val="10"/>
      <color rgb="FF8B5A00"/>
      <name val="Arial"/>
      <family val="0"/>
      <charset val="1"/>
    </font>
    <font>
      <b val="true"/>
      <sz val="11"/>
      <color rgb="FF9C0000"/>
      <name val="Arial"/>
      <family val="0"/>
      <charset val="1"/>
    </font>
    <font>
      <b val="true"/>
      <sz val="12"/>
      <name val="Consolas"/>
      <family val="0"/>
      <charset val="1"/>
    </font>
    <font>
      <b val="true"/>
      <sz val="11"/>
      <color rgb="FF8B5A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2424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sz val="10"/>
      <name val="Consolas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2B5C"/>
        <bgColor rgb="FF003300"/>
      </patternFill>
    </fill>
    <fill>
      <patternFill patternType="solid">
        <fgColor rgb="FFFFC72C"/>
        <bgColor rgb="FFD69E2E"/>
      </patternFill>
    </fill>
    <fill>
      <patternFill patternType="solid">
        <fgColor rgb="FFF4F4F4"/>
        <bgColor rgb="FFFFFFFF"/>
      </patternFill>
    </fill>
    <fill>
      <patternFill patternType="solid">
        <fgColor rgb="FFFFCCCC"/>
        <bgColor rgb="FFF4CCCC"/>
      </patternFill>
    </fill>
    <fill>
      <patternFill patternType="solid">
        <fgColor rgb="FFFFF2CC"/>
        <bgColor rgb="FFFEF3C7"/>
      </patternFill>
    </fill>
    <fill>
      <patternFill patternType="solid">
        <fgColor rgb="FFFCE4D6"/>
        <bgColor rgb="FFFED7D7"/>
      </patternFill>
    </fill>
    <fill>
      <patternFill patternType="solid">
        <fgColor rgb="FFC6F6D5"/>
        <bgColor rgb="FFD9F2D9"/>
      </patternFill>
    </fill>
    <fill>
      <patternFill patternType="solid">
        <fgColor rgb="FFFEF3C7"/>
        <bgColor rgb="FFFFF2CC"/>
      </patternFill>
    </fill>
    <fill>
      <patternFill patternType="solid">
        <fgColor rgb="FFFED7D7"/>
        <bgColor rgb="FFFFCCCC"/>
      </patternFill>
    </fill>
    <fill>
      <patternFill patternType="solid">
        <fgColor rgb="FFD69E2E"/>
        <bgColor rgb="FFFFC72C"/>
      </patternFill>
    </fill>
    <fill>
      <patternFill patternType="solid">
        <fgColor rgb="FFD9E1F2"/>
        <bgColor rgb="FFDDE7F2"/>
      </patternFill>
    </fill>
    <fill>
      <patternFill patternType="solid">
        <fgColor rgb="FFDDE7F2"/>
        <bgColor rgb="FFD9E1F2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FF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9F2D9"/>
        </patternFill>
      </fill>
    </dxf>
    <dxf>
      <fill>
        <patternFill>
          <bgColor rgb="FFFFCCCC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D9F2D9"/>
        </patternFill>
      </fill>
    </dxf>
    <dxf>
      <font>
        <name val="Arial"/>
        <charset val="1"/>
        <family val="0"/>
        <b val="1"/>
        <color rgb="FF9C0000"/>
      </font>
      <fill>
        <patternFill>
          <bgColor rgb="FFFFCCCC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5303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69E2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F855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9C0000"/>
      <rgbColor rgb="FF1B5E20"/>
      <rgbColor rgb="FF000080"/>
      <rgbColor rgb="FF8B5A00"/>
      <rgbColor rgb="FF800080"/>
      <rgbColor rgb="FF008080"/>
      <rgbColor rgb="FFBBBBBB"/>
      <rgbColor rgb="FF808080"/>
      <rgbColor rgb="FF9999FF"/>
      <rgbColor rgb="FFC53030"/>
      <rgbColor rgb="FFFEF3C7"/>
      <rgbColor rgb="FFD9F2D9"/>
      <rgbColor rgb="FF4A148C"/>
      <rgbColor rgb="FFFF8080"/>
      <rgbColor rgb="FF0066CC"/>
      <rgbColor rgb="FFD9E1F2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DDE7F2"/>
      <rgbColor rgb="FFC6F6D5"/>
      <rgbColor rgb="FFFFF2CC"/>
      <rgbColor rgb="FFEAD1DC"/>
      <rgbColor rgb="FFF4CCCC"/>
      <rgbColor rgb="FFFED7D7"/>
      <rgbColor rgb="FFFFCCCC"/>
      <rgbColor rgb="FF3366FF"/>
      <rgbColor rgb="FF33CCCC"/>
      <rgbColor rgb="FF99CC00"/>
      <rgbColor rgb="FFFFC72C"/>
      <rgbColor rgb="FFD69E2E"/>
      <rgbColor rgb="FFFF6600"/>
      <rgbColor rgb="FF666666"/>
      <rgbColor rgb="FF999999"/>
      <rgbColor rgb="FF002B5C"/>
      <rgbColor rgb="FF2F855A"/>
      <rgbColor rgb="FF003300"/>
      <rgbColor rgb="FF333300"/>
      <rgbColor rgb="FF9C2424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4"/>
      <c r="C5" s="4"/>
      <c r="D5" s="4"/>
    </row>
    <row r="6" customFormat="false" ht="25.5" hidden="false" customHeight="true" outlineLevel="0" collapsed="false">
      <c r="A6" s="5" t="s">
        <v>7</v>
      </c>
      <c r="B6" s="6" t="s">
        <v>8</v>
      </c>
      <c r="C6" s="7" t="s">
        <v>9</v>
      </c>
      <c r="D6" s="8" t="s">
        <v>10</v>
      </c>
    </row>
    <row r="7" customFormat="false" ht="25.5" hidden="false" customHeight="true" outlineLevel="0" collapsed="false">
      <c r="A7" s="9" t="s">
        <v>11</v>
      </c>
      <c r="B7" s="10" t="s">
        <v>12</v>
      </c>
      <c r="C7" s="11" t="s">
        <v>9</v>
      </c>
      <c r="D7" s="12" t="s">
        <v>13</v>
      </c>
    </row>
    <row r="8" customFormat="false" ht="25.5" hidden="false" customHeight="true" outlineLevel="0" collapsed="false">
      <c r="A8" s="5" t="s">
        <v>14</v>
      </c>
      <c r="B8" s="6" t="s">
        <v>15</v>
      </c>
      <c r="C8" s="7" t="s">
        <v>9</v>
      </c>
      <c r="D8" s="8" t="s">
        <v>16</v>
      </c>
    </row>
    <row r="9" customFormat="false" ht="25.5" hidden="false" customHeight="true" outlineLevel="0" collapsed="false">
      <c r="A9" s="9" t="s">
        <v>17</v>
      </c>
      <c r="B9" s="10" t="s">
        <v>18</v>
      </c>
      <c r="C9" s="11" t="s">
        <v>9</v>
      </c>
      <c r="D9" s="12" t="s">
        <v>19</v>
      </c>
    </row>
    <row r="10" customFormat="false" ht="21.75" hidden="false" customHeight="true" outlineLevel="0" collapsed="false">
      <c r="A10" s="4" t="s">
        <v>20</v>
      </c>
      <c r="B10" s="4"/>
      <c r="C10" s="4"/>
      <c r="D10" s="4"/>
    </row>
    <row r="11" customFormat="false" ht="25.5" hidden="false" customHeight="true" outlineLevel="0" collapsed="false">
      <c r="A11" s="9" t="s">
        <v>21</v>
      </c>
      <c r="B11" s="10" t="s">
        <v>8</v>
      </c>
      <c r="C11" s="11" t="s">
        <v>9</v>
      </c>
      <c r="D11" s="12" t="s">
        <v>22</v>
      </c>
    </row>
    <row r="12" customFormat="false" ht="25.5" hidden="false" customHeight="true" outlineLevel="0" collapsed="false">
      <c r="A12" s="5" t="s">
        <v>23</v>
      </c>
      <c r="B12" s="6" t="s">
        <v>18</v>
      </c>
      <c r="C12" s="7" t="s">
        <v>9</v>
      </c>
      <c r="D12" s="8" t="s">
        <v>24</v>
      </c>
    </row>
    <row r="13" customFormat="false" ht="21.75" hidden="false" customHeight="true" outlineLevel="0" collapsed="false">
      <c r="A13" s="4" t="s">
        <v>25</v>
      </c>
      <c r="B13" s="4"/>
      <c r="C13" s="4"/>
      <c r="D13" s="4"/>
    </row>
    <row r="14" customFormat="false" ht="25.5" hidden="false" customHeight="true" outlineLevel="0" collapsed="false">
      <c r="A14" s="5" t="s">
        <v>26</v>
      </c>
      <c r="B14" s="6" t="s">
        <v>27</v>
      </c>
      <c r="C14" s="7" t="s">
        <v>28</v>
      </c>
      <c r="D14" s="8" t="s">
        <v>29</v>
      </c>
    </row>
    <row r="15" customFormat="false" ht="25.5" hidden="false" customHeight="true" outlineLevel="0" collapsed="false">
      <c r="A15" s="9" t="s">
        <v>30</v>
      </c>
      <c r="B15" s="10" t="s">
        <v>31</v>
      </c>
      <c r="C15" s="11" t="s">
        <v>28</v>
      </c>
      <c r="D15" s="12" t="s">
        <v>32</v>
      </c>
    </row>
    <row r="16" customFormat="false" ht="21.75" hidden="false" customHeight="true" outlineLevel="0" collapsed="false">
      <c r="A16" s="4" t="s">
        <v>33</v>
      </c>
      <c r="B16" s="4"/>
      <c r="C16" s="4"/>
      <c r="D16" s="4"/>
    </row>
    <row r="17" customFormat="false" ht="25.5" hidden="false" customHeight="true" outlineLevel="0" collapsed="false">
      <c r="A17" s="9" t="s">
        <v>34</v>
      </c>
      <c r="B17" s="10" t="s">
        <v>12</v>
      </c>
      <c r="C17" s="11" t="s">
        <v>35</v>
      </c>
      <c r="D17" s="12" t="s">
        <v>36</v>
      </c>
    </row>
    <row r="18" customFormat="false" ht="25.5" hidden="false" customHeight="true" outlineLevel="0" collapsed="false">
      <c r="A18" s="5" t="s">
        <v>37</v>
      </c>
      <c r="B18" s="6" t="s">
        <v>38</v>
      </c>
      <c r="C18" s="7" t="s">
        <v>35</v>
      </c>
      <c r="D18" s="8" t="s">
        <v>39</v>
      </c>
    </row>
    <row r="19" customFormat="false" ht="25.5" hidden="false" customHeight="true" outlineLevel="0" collapsed="false">
      <c r="A19" s="9" t="s">
        <v>40</v>
      </c>
      <c r="B19" s="10" t="s">
        <v>41</v>
      </c>
      <c r="C19" s="11" t="s">
        <v>35</v>
      </c>
      <c r="D19" s="12" t="s">
        <v>42</v>
      </c>
    </row>
    <row r="20" customFormat="false" ht="21.75" hidden="false" customHeight="true" outlineLevel="0" collapsed="false">
      <c r="A20" s="4" t="s">
        <v>43</v>
      </c>
      <c r="B20" s="4"/>
      <c r="C20" s="4"/>
      <c r="D20" s="4"/>
    </row>
    <row r="21" customFormat="false" ht="25.5" hidden="false" customHeight="true" outlineLevel="0" collapsed="false">
      <c r="A21" s="9" t="s">
        <v>44</v>
      </c>
      <c r="B21" s="10" t="s">
        <v>45</v>
      </c>
      <c r="C21" s="11" t="s">
        <v>43</v>
      </c>
      <c r="D21" s="12" t="s">
        <v>46</v>
      </c>
    </row>
    <row r="22" customFormat="false" ht="25.5" hidden="false" customHeight="true" outlineLevel="0" collapsed="false">
      <c r="A22" s="5" t="s">
        <v>47</v>
      </c>
      <c r="B22" s="6" t="s">
        <v>48</v>
      </c>
      <c r="C22" s="7" t="s">
        <v>43</v>
      </c>
      <c r="D22" s="8" t="s">
        <v>49</v>
      </c>
    </row>
    <row r="23" customFormat="false" ht="25.5" hidden="false" customHeight="true" outlineLevel="0" collapsed="false">
      <c r="A23" s="9" t="s">
        <v>50</v>
      </c>
      <c r="B23" s="10" t="s">
        <v>51</v>
      </c>
      <c r="C23" s="11" t="s">
        <v>43</v>
      </c>
      <c r="D23" s="12" t="s">
        <v>52</v>
      </c>
    </row>
    <row r="24" customFormat="false" ht="25.5" hidden="false" customHeight="true" outlineLevel="0" collapsed="false">
      <c r="A24" s="5" t="s">
        <v>53</v>
      </c>
      <c r="B24" s="6" t="s">
        <v>54</v>
      </c>
      <c r="C24" s="7" t="s">
        <v>43</v>
      </c>
      <c r="D24" s="8" t="s">
        <v>55</v>
      </c>
    </row>
    <row r="25" customFormat="false" ht="25.5" hidden="false" customHeight="true" outlineLevel="0" collapsed="false">
      <c r="A25" s="9" t="s">
        <v>56</v>
      </c>
      <c r="B25" s="10" t="s">
        <v>57</v>
      </c>
      <c r="C25" s="11" t="s">
        <v>43</v>
      </c>
      <c r="D25" s="12" t="s">
        <v>58</v>
      </c>
    </row>
    <row r="26" customFormat="false" ht="25.5" hidden="false" customHeight="true" outlineLevel="0" collapsed="false">
      <c r="A26" s="5" t="s">
        <v>59</v>
      </c>
      <c r="B26" s="6" t="s">
        <v>60</v>
      </c>
      <c r="C26" s="7" t="s">
        <v>43</v>
      </c>
      <c r="D26" s="8" t="s">
        <v>61</v>
      </c>
    </row>
    <row r="27" customFormat="false" ht="25.5" hidden="false" customHeight="true" outlineLevel="0" collapsed="false">
      <c r="A27" s="9" t="s">
        <v>62</v>
      </c>
      <c r="B27" s="10" t="s">
        <v>63</v>
      </c>
      <c r="C27" s="11" t="s">
        <v>43</v>
      </c>
      <c r="D27" s="12" t="s">
        <v>64</v>
      </c>
    </row>
    <row r="28" customFormat="false" ht="25.5" hidden="false" customHeight="true" outlineLevel="0" collapsed="false">
      <c r="A28" s="5" t="s">
        <v>65</v>
      </c>
      <c r="B28" s="6" t="s">
        <v>66</v>
      </c>
      <c r="C28" s="7" t="s">
        <v>43</v>
      </c>
      <c r="D28" s="8" t="s">
        <v>67</v>
      </c>
    </row>
    <row r="29" customFormat="false" ht="25.5" hidden="false" customHeight="true" outlineLevel="0" collapsed="false">
      <c r="A29" s="9" t="s">
        <v>68</v>
      </c>
      <c r="B29" s="10" t="s">
        <v>69</v>
      </c>
      <c r="C29" s="11" t="s">
        <v>43</v>
      </c>
      <c r="D29" s="12" t="s">
        <v>70</v>
      </c>
    </row>
    <row r="30" customFormat="false" ht="25.5" hidden="false" customHeight="true" outlineLevel="0" collapsed="false">
      <c r="A30" s="5" t="s">
        <v>71</v>
      </c>
      <c r="B30" s="6" t="s">
        <v>72</v>
      </c>
      <c r="C30" s="7" t="s">
        <v>43</v>
      </c>
      <c r="D30" s="8" t="s">
        <v>73</v>
      </c>
    </row>
    <row r="31" customFormat="false" ht="25.5" hidden="false" customHeight="true" outlineLevel="0" collapsed="false">
      <c r="A31" s="9" t="s">
        <v>74</v>
      </c>
      <c r="B31" s="10" t="s">
        <v>63</v>
      </c>
      <c r="C31" s="11" t="s">
        <v>43</v>
      </c>
      <c r="D31" s="12" t="s">
        <v>75</v>
      </c>
    </row>
    <row r="32" customFormat="false" ht="25.5" hidden="false" customHeight="true" outlineLevel="0" collapsed="false">
      <c r="A32" s="5" t="s">
        <v>76</v>
      </c>
      <c r="B32" s="6" t="s">
        <v>77</v>
      </c>
      <c r="C32" s="7" t="s">
        <v>43</v>
      </c>
      <c r="D32" s="8" t="s">
        <v>78</v>
      </c>
    </row>
    <row r="33" customFormat="false" ht="25.5" hidden="false" customHeight="true" outlineLevel="0" collapsed="false">
      <c r="A33" s="9" t="s">
        <v>79</v>
      </c>
      <c r="B33" s="10" t="s">
        <v>80</v>
      </c>
      <c r="C33" s="11" t="s">
        <v>43</v>
      </c>
      <c r="D33" s="12" t="s">
        <v>81</v>
      </c>
    </row>
    <row r="34" customFormat="false" ht="21.75" hidden="false" customHeight="true" outlineLevel="0" collapsed="false">
      <c r="A34" s="4" t="s">
        <v>82</v>
      </c>
      <c r="B34" s="4"/>
      <c r="C34" s="4"/>
      <c r="D34" s="4"/>
    </row>
    <row r="35" customFormat="false" ht="25.5" hidden="false" customHeight="true" outlineLevel="0" collapsed="false">
      <c r="A35" s="9" t="s">
        <v>83</v>
      </c>
      <c r="B35" s="10" t="s">
        <v>84</v>
      </c>
      <c r="C35" s="11" t="s">
        <v>82</v>
      </c>
      <c r="D35" s="12" t="s">
        <v>85</v>
      </c>
    </row>
    <row r="36" customFormat="false" ht="25.5" hidden="false" customHeight="true" outlineLevel="0" collapsed="false">
      <c r="A36" s="5" t="s">
        <v>86</v>
      </c>
      <c r="B36" s="6" t="s">
        <v>87</v>
      </c>
      <c r="C36" s="7" t="s">
        <v>82</v>
      </c>
      <c r="D36" s="8" t="s">
        <v>88</v>
      </c>
    </row>
    <row r="37" customFormat="false" ht="25.5" hidden="false" customHeight="true" outlineLevel="0" collapsed="false">
      <c r="A37" s="9" t="s">
        <v>89</v>
      </c>
      <c r="B37" s="10" t="s">
        <v>90</v>
      </c>
      <c r="C37" s="11" t="s">
        <v>82</v>
      </c>
      <c r="D37" s="12" t="s">
        <v>91</v>
      </c>
    </row>
    <row r="38" customFormat="false" ht="21.75" hidden="false" customHeight="true" outlineLevel="0" collapsed="false">
      <c r="A38" s="4" t="s">
        <v>92</v>
      </c>
      <c r="B38" s="4"/>
      <c r="C38" s="4"/>
      <c r="D38" s="4"/>
    </row>
    <row r="39" customFormat="false" ht="25.5" hidden="false" customHeight="true" outlineLevel="0" collapsed="false">
      <c r="A39" s="9" t="s">
        <v>93</v>
      </c>
      <c r="B39" s="10" t="s">
        <v>94</v>
      </c>
      <c r="C39" s="11" t="s">
        <v>92</v>
      </c>
      <c r="D39" s="12" t="s">
        <v>95</v>
      </c>
    </row>
    <row r="40" customFormat="false" ht="25.5" hidden="false" customHeight="true" outlineLevel="0" collapsed="false">
      <c r="A40" s="5" t="s">
        <v>96</v>
      </c>
      <c r="B40" s="6" t="s">
        <v>97</v>
      </c>
      <c r="C40" s="7" t="s">
        <v>92</v>
      </c>
      <c r="D40" s="8" t="s">
        <v>98</v>
      </c>
    </row>
    <row r="41" customFormat="false" ht="25.5" hidden="false" customHeight="true" outlineLevel="0" collapsed="false">
      <c r="A41" s="9" t="s">
        <v>99</v>
      </c>
      <c r="B41" s="10" t="s">
        <v>100</v>
      </c>
      <c r="C41" s="11" t="s">
        <v>92</v>
      </c>
      <c r="D41" s="12" t="s">
        <v>101</v>
      </c>
    </row>
    <row r="42" customFormat="false" ht="21.75" hidden="false" customHeight="true" outlineLevel="0" collapsed="false">
      <c r="A42" s="4" t="s">
        <v>102</v>
      </c>
      <c r="B42" s="4"/>
      <c r="C42" s="4"/>
      <c r="D42" s="4"/>
    </row>
    <row r="43" customFormat="false" ht="25.5" hidden="false" customHeight="true" outlineLevel="0" collapsed="false">
      <c r="A43" s="9" t="s">
        <v>103</v>
      </c>
      <c r="B43" s="10" t="s">
        <v>104</v>
      </c>
      <c r="C43" s="11" t="s">
        <v>102</v>
      </c>
      <c r="D43" s="12" t="s">
        <v>105</v>
      </c>
    </row>
    <row r="44" customFormat="false" ht="25.5" hidden="false" customHeight="true" outlineLevel="0" collapsed="false">
      <c r="A44" s="5" t="s">
        <v>106</v>
      </c>
      <c r="B44" s="6"/>
      <c r="C44" s="7" t="s">
        <v>102</v>
      </c>
      <c r="D44" s="8" t="s">
        <v>107</v>
      </c>
    </row>
    <row r="45" customFormat="false" ht="25.5" hidden="false" customHeight="true" outlineLevel="0" collapsed="false">
      <c r="A45" s="9" t="s">
        <v>108</v>
      </c>
      <c r="B45" s="10" t="s">
        <v>109</v>
      </c>
      <c r="C45" s="11" t="s">
        <v>102</v>
      </c>
      <c r="D45" s="12" t="s">
        <v>110</v>
      </c>
    </row>
    <row r="46" customFormat="false" ht="25.5" hidden="false" customHeight="true" outlineLevel="0" collapsed="false">
      <c r="A46" s="5" t="s">
        <v>111</v>
      </c>
      <c r="B46" s="6" t="s">
        <v>112</v>
      </c>
      <c r="C46" s="7" t="s">
        <v>102</v>
      </c>
      <c r="D46" s="8" t="s">
        <v>113</v>
      </c>
    </row>
    <row r="47" customFormat="false" ht="25.5" hidden="false" customHeight="true" outlineLevel="0" collapsed="false">
      <c r="A47" s="9" t="s">
        <v>114</v>
      </c>
      <c r="B47" s="10" t="s">
        <v>115</v>
      </c>
      <c r="C47" s="11" t="s">
        <v>102</v>
      </c>
      <c r="D47" s="12" t="s">
        <v>116</v>
      </c>
    </row>
    <row r="48" customFormat="false" ht="21.75" hidden="false" customHeight="true" outlineLevel="0" collapsed="false">
      <c r="A48" s="4" t="s">
        <v>117</v>
      </c>
      <c r="B48" s="4"/>
      <c r="C48" s="4"/>
      <c r="D48" s="4"/>
    </row>
    <row r="49" customFormat="false" ht="25.5" hidden="false" customHeight="true" outlineLevel="0" collapsed="false">
      <c r="A49" s="9" t="s">
        <v>118</v>
      </c>
      <c r="B49" s="10" t="s">
        <v>119</v>
      </c>
      <c r="C49" s="11" t="s">
        <v>117</v>
      </c>
      <c r="D49" s="12" t="s">
        <v>120</v>
      </c>
    </row>
    <row r="50" customFormat="false" ht="25.5" hidden="false" customHeight="true" outlineLevel="0" collapsed="false">
      <c r="A50" s="5" t="s">
        <v>121</v>
      </c>
      <c r="B50" s="6" t="s">
        <v>122</v>
      </c>
      <c r="C50" s="7" t="s">
        <v>117</v>
      </c>
      <c r="D50" s="8" t="s">
        <v>123</v>
      </c>
    </row>
    <row r="51" customFormat="false" ht="25.5" hidden="false" customHeight="true" outlineLevel="0" collapsed="false">
      <c r="A51" s="9" t="s">
        <v>124</v>
      </c>
      <c r="B51" s="10" t="s">
        <v>125</v>
      </c>
      <c r="C51" s="11" t="s">
        <v>117</v>
      </c>
      <c r="D51" s="12" t="s">
        <v>126</v>
      </c>
    </row>
    <row r="52" customFormat="false" ht="25.5" hidden="false" customHeight="true" outlineLevel="0" collapsed="false">
      <c r="A52" s="5" t="s">
        <v>127</v>
      </c>
      <c r="B52" s="6" t="s">
        <v>128</v>
      </c>
      <c r="C52" s="7" t="s">
        <v>117</v>
      </c>
      <c r="D52" s="8" t="s">
        <v>5</v>
      </c>
    </row>
    <row r="53" customFormat="false" ht="25.5" hidden="false" customHeight="true" outlineLevel="0" collapsed="false">
      <c r="A53" s="9" t="s">
        <v>129</v>
      </c>
      <c r="B53" s="10" t="s">
        <v>130</v>
      </c>
      <c r="C53" s="11" t="s">
        <v>117</v>
      </c>
      <c r="D53" s="12" t="s">
        <v>131</v>
      </c>
    </row>
    <row r="54" customFormat="false" ht="25.5" hidden="false" customHeight="true" outlineLevel="0" collapsed="false">
      <c r="A54" s="5" t="s">
        <v>132</v>
      </c>
      <c r="B54" s="6" t="s">
        <v>133</v>
      </c>
      <c r="C54" s="7" t="s">
        <v>117</v>
      </c>
      <c r="D54" s="8" t="s">
        <v>5</v>
      </c>
    </row>
    <row r="55" customFormat="false" ht="25.5" hidden="false" customHeight="true" outlineLevel="0" collapsed="false">
      <c r="A55" s="9" t="s">
        <v>134</v>
      </c>
      <c r="B55" s="10" t="s">
        <v>135</v>
      </c>
      <c r="C55" s="11" t="s">
        <v>117</v>
      </c>
      <c r="D55" s="12" t="s">
        <v>136</v>
      </c>
    </row>
    <row r="56" customFormat="false" ht="25.5" hidden="false" customHeight="true" outlineLevel="0" collapsed="false">
      <c r="A56" s="5" t="s">
        <v>137</v>
      </c>
      <c r="B56" s="6" t="s">
        <v>138</v>
      </c>
      <c r="C56" s="7" t="s">
        <v>117</v>
      </c>
      <c r="D56" s="8" t="s">
        <v>5</v>
      </c>
    </row>
    <row r="57" customFormat="false" ht="25.5" hidden="false" customHeight="true" outlineLevel="0" collapsed="false">
      <c r="A57" s="9" t="s">
        <v>139</v>
      </c>
      <c r="B57" s="10" t="s">
        <v>140</v>
      </c>
      <c r="C57" s="11" t="s">
        <v>117</v>
      </c>
      <c r="D57" s="12" t="s">
        <v>141</v>
      </c>
    </row>
    <row r="58" customFormat="false" ht="25.5" hidden="false" customHeight="true" outlineLevel="0" collapsed="false">
      <c r="A58" s="5" t="s">
        <v>142</v>
      </c>
      <c r="B58" s="6" t="s">
        <v>143</v>
      </c>
      <c r="C58" s="7" t="s">
        <v>117</v>
      </c>
      <c r="D58" s="8" t="s">
        <v>5</v>
      </c>
    </row>
    <row r="59" customFormat="false" ht="25.5" hidden="false" customHeight="true" outlineLevel="0" collapsed="false">
      <c r="A59" s="9" t="s">
        <v>144</v>
      </c>
      <c r="B59" s="10" t="s">
        <v>145</v>
      </c>
      <c r="C59" s="11" t="s">
        <v>117</v>
      </c>
      <c r="D59" s="12" t="s">
        <v>146</v>
      </c>
    </row>
    <row r="60" customFormat="false" ht="25.5" hidden="false" customHeight="true" outlineLevel="0" collapsed="false">
      <c r="A60" s="5" t="s">
        <v>147</v>
      </c>
      <c r="B60" s="6" t="s">
        <v>148</v>
      </c>
      <c r="C60" s="7" t="s">
        <v>117</v>
      </c>
      <c r="D60" s="8" t="s">
        <v>5</v>
      </c>
    </row>
    <row r="61" customFormat="false" ht="25.5" hidden="false" customHeight="true" outlineLevel="0" collapsed="false">
      <c r="A61" s="9" t="s">
        <v>149</v>
      </c>
      <c r="B61" s="10"/>
      <c r="C61" s="11" t="s">
        <v>117</v>
      </c>
      <c r="D61" s="12" t="s">
        <v>150</v>
      </c>
    </row>
    <row r="62" customFormat="false" ht="25.5" hidden="false" customHeight="true" outlineLevel="0" collapsed="false">
      <c r="A62" s="5" t="s">
        <v>151</v>
      </c>
      <c r="B62" s="6"/>
      <c r="C62" s="7" t="s">
        <v>117</v>
      </c>
      <c r="D62" s="8" t="s">
        <v>152</v>
      </c>
    </row>
    <row r="63" customFormat="false" ht="25.5" hidden="false" customHeight="true" outlineLevel="0" collapsed="false">
      <c r="A63" s="9" t="s">
        <v>153</v>
      </c>
      <c r="B63" s="10"/>
      <c r="C63" s="11" t="s">
        <v>117</v>
      </c>
      <c r="D63" s="12" t="s">
        <v>154</v>
      </c>
    </row>
    <row r="64" customFormat="false" ht="25.5" hidden="false" customHeight="true" outlineLevel="0" collapsed="false">
      <c r="A64" s="5" t="s">
        <v>155</v>
      </c>
      <c r="B64" s="6"/>
      <c r="C64" s="7" t="s">
        <v>117</v>
      </c>
      <c r="D64" s="8" t="s">
        <v>156</v>
      </c>
    </row>
    <row r="65" customFormat="false" ht="21.75" hidden="false" customHeight="true" outlineLevel="0" collapsed="false">
      <c r="A65" s="4" t="s">
        <v>157</v>
      </c>
      <c r="B65" s="4"/>
      <c r="C65" s="4"/>
      <c r="D65" s="4"/>
    </row>
    <row r="66" customFormat="false" ht="25.5" hidden="false" customHeight="true" outlineLevel="0" collapsed="false">
      <c r="A66" s="5" t="s">
        <v>158</v>
      </c>
      <c r="B66" s="6" t="s">
        <v>159</v>
      </c>
      <c r="C66" s="7" t="s">
        <v>157</v>
      </c>
      <c r="D66" s="8" t="s">
        <v>160</v>
      </c>
    </row>
    <row r="67" customFormat="false" ht="25.5" hidden="false" customHeight="true" outlineLevel="0" collapsed="false">
      <c r="A67" s="9" t="s">
        <v>161</v>
      </c>
      <c r="B67" s="10" t="s">
        <v>162</v>
      </c>
      <c r="C67" s="11" t="s">
        <v>157</v>
      </c>
      <c r="D67" s="12" t="s">
        <v>163</v>
      </c>
    </row>
    <row r="68" customFormat="false" ht="25.5" hidden="false" customHeight="true" outlineLevel="0" collapsed="false">
      <c r="A68" s="5" t="s">
        <v>164</v>
      </c>
      <c r="B68" s="6" t="s">
        <v>165</v>
      </c>
      <c r="C68" s="7" t="s">
        <v>157</v>
      </c>
      <c r="D68" s="8" t="s">
        <v>166</v>
      </c>
    </row>
    <row r="69" customFormat="false" ht="25.5" hidden="false" customHeight="true" outlineLevel="0" collapsed="false">
      <c r="A69" s="9" t="s">
        <v>167</v>
      </c>
      <c r="B69" s="10" t="s">
        <v>168</v>
      </c>
      <c r="C69" s="11" t="s">
        <v>157</v>
      </c>
      <c r="D69" s="12" t="s">
        <v>169</v>
      </c>
    </row>
    <row r="70" customFormat="false" ht="25.5" hidden="false" customHeight="true" outlineLevel="0" collapsed="false">
      <c r="A70" s="5" t="s">
        <v>170</v>
      </c>
      <c r="B70" s="6" t="s">
        <v>171</v>
      </c>
      <c r="C70" s="7" t="s">
        <v>157</v>
      </c>
      <c r="D70" s="8" t="s">
        <v>172</v>
      </c>
    </row>
    <row r="71" customFormat="false" ht="25.5" hidden="false" customHeight="true" outlineLevel="0" collapsed="false">
      <c r="A71" s="9" t="s">
        <v>173</v>
      </c>
      <c r="B71" s="10" t="s">
        <v>174</v>
      </c>
      <c r="C71" s="11" t="s">
        <v>157</v>
      </c>
      <c r="D71" s="12" t="s">
        <v>175</v>
      </c>
    </row>
    <row r="72" customFormat="false" ht="25.5" hidden="false" customHeight="true" outlineLevel="0" collapsed="false">
      <c r="A72" s="5" t="s">
        <v>176</v>
      </c>
      <c r="B72" s="6" t="s">
        <v>177</v>
      </c>
      <c r="C72" s="7" t="s">
        <v>157</v>
      </c>
      <c r="D72" s="8" t="s">
        <v>178</v>
      </c>
    </row>
    <row r="73" customFormat="false" ht="25.5" hidden="false" customHeight="true" outlineLevel="0" collapsed="false">
      <c r="A73" s="9" t="s">
        <v>179</v>
      </c>
      <c r="B73" s="10" t="s">
        <v>180</v>
      </c>
      <c r="C73" s="11" t="s">
        <v>157</v>
      </c>
      <c r="D73" s="12" t="s">
        <v>181</v>
      </c>
    </row>
    <row r="74" customFormat="false" ht="21.75" hidden="false" customHeight="true" outlineLevel="0" collapsed="false">
      <c r="A74" s="4" t="s">
        <v>182</v>
      </c>
      <c r="B74" s="4"/>
      <c r="C74" s="4"/>
      <c r="D74" s="4"/>
    </row>
    <row r="75" customFormat="false" ht="25.5" hidden="false" customHeight="true" outlineLevel="0" collapsed="false">
      <c r="A75" s="9" t="s">
        <v>183</v>
      </c>
      <c r="B75" s="10" t="s">
        <v>184</v>
      </c>
      <c r="C75" s="11" t="s">
        <v>182</v>
      </c>
      <c r="D75" s="12" t="s">
        <v>185</v>
      </c>
    </row>
    <row r="76" customFormat="false" ht="25.5" hidden="false" customHeight="true" outlineLevel="0" collapsed="false">
      <c r="A76" s="5" t="s">
        <v>186</v>
      </c>
      <c r="B76" s="6" t="s">
        <v>187</v>
      </c>
      <c r="C76" s="7" t="s">
        <v>182</v>
      </c>
      <c r="D76" s="8" t="s">
        <v>188</v>
      </c>
    </row>
    <row r="77" customFormat="false" ht="25.5" hidden="false" customHeight="true" outlineLevel="0" collapsed="false">
      <c r="A77" s="9" t="s">
        <v>189</v>
      </c>
      <c r="B77" s="10" t="s">
        <v>190</v>
      </c>
      <c r="C77" s="11" t="s">
        <v>182</v>
      </c>
      <c r="D77" s="12" t="s">
        <v>191</v>
      </c>
    </row>
    <row r="78" customFormat="false" ht="25.5" hidden="false" customHeight="true" outlineLevel="0" collapsed="false">
      <c r="A78" s="5" t="s">
        <v>192</v>
      </c>
      <c r="B78" s="6" t="s">
        <v>193</v>
      </c>
      <c r="C78" s="7" t="s">
        <v>182</v>
      </c>
      <c r="D78" s="8" t="s">
        <v>194</v>
      </c>
    </row>
    <row r="79" customFormat="false" ht="25.5" hidden="false" customHeight="true" outlineLevel="0" collapsed="false">
      <c r="A79" s="9" t="s">
        <v>195</v>
      </c>
      <c r="B79" s="10" t="s">
        <v>196</v>
      </c>
      <c r="C79" s="11" t="s">
        <v>182</v>
      </c>
      <c r="D79" s="12" t="s">
        <v>197</v>
      </c>
    </row>
    <row r="80" customFormat="false" ht="21.75" hidden="false" customHeight="true" outlineLevel="0" collapsed="false">
      <c r="A80" s="4" t="s">
        <v>198</v>
      </c>
      <c r="B80" s="4"/>
      <c r="C80" s="4"/>
      <c r="D80" s="4"/>
    </row>
    <row r="81" customFormat="false" ht="25.5" hidden="false" customHeight="true" outlineLevel="0" collapsed="false">
      <c r="A81" s="9" t="s">
        <v>199</v>
      </c>
      <c r="B81" s="10" t="s">
        <v>200</v>
      </c>
      <c r="C81" s="11" t="s">
        <v>198</v>
      </c>
      <c r="D81" s="12" t="s">
        <v>201</v>
      </c>
    </row>
    <row r="82" customFormat="false" ht="25.5" hidden="false" customHeight="true" outlineLevel="0" collapsed="false">
      <c r="A82" s="5" t="s">
        <v>202</v>
      </c>
      <c r="B82" s="6" t="s">
        <v>203</v>
      </c>
      <c r="C82" s="7" t="s">
        <v>198</v>
      </c>
      <c r="D82" s="8" t="s">
        <v>204</v>
      </c>
    </row>
    <row r="83" customFormat="false" ht="25.5" hidden="false" customHeight="true" outlineLevel="0" collapsed="false">
      <c r="A83" s="9" t="s">
        <v>205</v>
      </c>
      <c r="B83" s="10" t="s">
        <v>206</v>
      </c>
      <c r="C83" s="11" t="s">
        <v>198</v>
      </c>
      <c r="D83" s="12" t="s">
        <v>207</v>
      </c>
    </row>
    <row r="84" customFormat="false" ht="25.5" hidden="false" customHeight="true" outlineLevel="0" collapsed="false">
      <c r="A84" s="5" t="s">
        <v>208</v>
      </c>
      <c r="B84" s="6"/>
      <c r="C84" s="7" t="s">
        <v>198</v>
      </c>
      <c r="D84" s="8" t="s">
        <v>209</v>
      </c>
    </row>
    <row r="85" customFormat="false" ht="25.5" hidden="false" customHeight="true" outlineLevel="0" collapsed="false">
      <c r="A85" s="9" t="s">
        <v>210</v>
      </c>
      <c r="B85" s="10"/>
      <c r="C85" s="11" t="s">
        <v>198</v>
      </c>
      <c r="D85" s="12" t="s">
        <v>211</v>
      </c>
    </row>
    <row r="86" customFormat="false" ht="21.75" hidden="false" customHeight="true" outlineLevel="0" collapsed="false">
      <c r="A86" s="4" t="s">
        <v>212</v>
      </c>
      <c r="B86" s="4"/>
      <c r="C86" s="4"/>
      <c r="D86" s="4"/>
    </row>
    <row r="87" customFormat="false" ht="25.5" hidden="false" customHeight="true" outlineLevel="0" collapsed="false">
      <c r="A87" s="9" t="s">
        <v>213</v>
      </c>
      <c r="B87" s="10" t="s">
        <v>214</v>
      </c>
      <c r="C87" s="11" t="s">
        <v>215</v>
      </c>
      <c r="D87" s="12" t="s">
        <v>216</v>
      </c>
    </row>
    <row r="88" customFormat="false" ht="25.5" hidden="false" customHeight="true" outlineLevel="0" collapsed="false">
      <c r="A88" s="5" t="s">
        <v>217</v>
      </c>
      <c r="B88" s="6" t="s">
        <v>218</v>
      </c>
      <c r="C88" s="7" t="s">
        <v>215</v>
      </c>
      <c r="D88" s="8" t="s">
        <v>219</v>
      </c>
    </row>
    <row r="89" customFormat="false" ht="25.5" hidden="false" customHeight="true" outlineLevel="0" collapsed="false">
      <c r="A89" s="9" t="s">
        <v>220</v>
      </c>
      <c r="B89" s="10" t="s">
        <v>221</v>
      </c>
      <c r="C89" s="11" t="s">
        <v>215</v>
      </c>
      <c r="D89" s="12" t="s">
        <v>222</v>
      </c>
    </row>
    <row r="90" customFormat="false" ht="25.5" hidden="false" customHeight="true" outlineLevel="0" collapsed="false">
      <c r="A90" s="5" t="s">
        <v>223</v>
      </c>
      <c r="B90" s="6" t="s">
        <v>224</v>
      </c>
      <c r="C90" s="7" t="s">
        <v>215</v>
      </c>
      <c r="D90" s="8" t="s">
        <v>225</v>
      </c>
    </row>
    <row r="91" customFormat="false" ht="25.5" hidden="false" customHeight="true" outlineLevel="0" collapsed="false">
      <c r="A91" s="9" t="s">
        <v>226</v>
      </c>
      <c r="B91" s="10" t="s">
        <v>227</v>
      </c>
      <c r="C91" s="11" t="s">
        <v>215</v>
      </c>
      <c r="D91" s="12" t="s">
        <v>228</v>
      </c>
    </row>
    <row r="92" customFormat="false" ht="21.75" hidden="false" customHeight="true" outlineLevel="0" collapsed="false">
      <c r="A92" s="4" t="s">
        <v>229</v>
      </c>
      <c r="B92" s="4"/>
      <c r="C92" s="4"/>
      <c r="D92" s="4"/>
    </row>
    <row r="93" customFormat="false" ht="25.5" hidden="false" customHeight="true" outlineLevel="0" collapsed="false">
      <c r="A93" s="9" t="s">
        <v>230</v>
      </c>
      <c r="B93" s="10" t="s">
        <v>231</v>
      </c>
      <c r="C93" s="11" t="s">
        <v>215</v>
      </c>
      <c r="D93" s="12" t="s">
        <v>216</v>
      </c>
    </row>
    <row r="94" customFormat="false" ht="25.5" hidden="false" customHeight="true" outlineLevel="0" collapsed="false">
      <c r="A94" s="5" t="s">
        <v>232</v>
      </c>
      <c r="B94" s="6" t="s">
        <v>233</v>
      </c>
      <c r="C94" s="7" t="s">
        <v>215</v>
      </c>
      <c r="D94" s="8" t="s">
        <v>234</v>
      </c>
    </row>
    <row r="95" customFormat="false" ht="25.5" hidden="false" customHeight="true" outlineLevel="0" collapsed="false">
      <c r="A95" s="9" t="s">
        <v>235</v>
      </c>
      <c r="B95" s="10" t="s">
        <v>236</v>
      </c>
      <c r="C95" s="11" t="s">
        <v>215</v>
      </c>
      <c r="D95" s="12" t="s">
        <v>237</v>
      </c>
    </row>
    <row r="96" customFormat="false" ht="25.5" hidden="false" customHeight="true" outlineLevel="0" collapsed="false">
      <c r="A96" s="5" t="s">
        <v>238</v>
      </c>
      <c r="B96" s="6" t="s">
        <v>224</v>
      </c>
      <c r="C96" s="7" t="s">
        <v>215</v>
      </c>
      <c r="D96" s="8" t="s">
        <v>225</v>
      </c>
    </row>
    <row r="97" customFormat="false" ht="25.5" hidden="false" customHeight="true" outlineLevel="0" collapsed="false">
      <c r="A97" s="9" t="s">
        <v>239</v>
      </c>
      <c r="B97" s="10" t="s">
        <v>240</v>
      </c>
      <c r="C97" s="11" t="s">
        <v>215</v>
      </c>
      <c r="D97" s="12" t="s">
        <v>241</v>
      </c>
    </row>
    <row r="98" customFormat="false" ht="21.75" hidden="false" customHeight="true" outlineLevel="0" collapsed="false">
      <c r="A98" s="4" t="s">
        <v>242</v>
      </c>
      <c r="B98" s="4"/>
      <c r="C98" s="4"/>
      <c r="D98" s="4"/>
    </row>
    <row r="99" customFormat="false" ht="25.5" hidden="false" customHeight="true" outlineLevel="0" collapsed="false">
      <c r="A99" s="9" t="s">
        <v>243</v>
      </c>
      <c r="B99" s="10" t="s">
        <v>244</v>
      </c>
      <c r="C99" s="11" t="s">
        <v>215</v>
      </c>
      <c r="D99" s="12" t="s">
        <v>216</v>
      </c>
    </row>
    <row r="100" customFormat="false" ht="25.5" hidden="false" customHeight="true" outlineLevel="0" collapsed="false">
      <c r="A100" s="5" t="s">
        <v>245</v>
      </c>
      <c r="B100" s="6" t="s">
        <v>233</v>
      </c>
      <c r="C100" s="7" t="s">
        <v>215</v>
      </c>
      <c r="D100" s="8" t="s">
        <v>246</v>
      </c>
    </row>
    <row r="101" customFormat="false" ht="25.5" hidden="false" customHeight="true" outlineLevel="0" collapsed="false">
      <c r="A101" s="9" t="s">
        <v>247</v>
      </c>
      <c r="B101" s="10" t="s">
        <v>248</v>
      </c>
      <c r="C101" s="11" t="s">
        <v>215</v>
      </c>
      <c r="D101" s="12" t="s">
        <v>249</v>
      </c>
    </row>
    <row r="102" customFormat="false" ht="25.5" hidden="false" customHeight="true" outlineLevel="0" collapsed="false">
      <c r="A102" s="5" t="s">
        <v>250</v>
      </c>
      <c r="B102" s="6" t="s">
        <v>224</v>
      </c>
      <c r="C102" s="7" t="s">
        <v>215</v>
      </c>
      <c r="D102" s="8" t="s">
        <v>251</v>
      </c>
    </row>
    <row r="103" customFormat="false" ht="25.5" hidden="false" customHeight="true" outlineLevel="0" collapsed="false">
      <c r="A103" s="9" t="s">
        <v>252</v>
      </c>
      <c r="B103" s="10" t="s">
        <v>253</v>
      </c>
      <c r="C103" s="11" t="s">
        <v>215</v>
      </c>
      <c r="D103" s="12" t="s">
        <v>254</v>
      </c>
    </row>
    <row r="105" customFormat="false" ht="15" hidden="false" customHeight="false" outlineLevel="0" collapsed="false">
      <c r="A105" s="13" t="s">
        <v>255</v>
      </c>
    </row>
    <row r="106" customFormat="false" ht="19.5" hidden="false" customHeight="true" outlineLevel="0" collapsed="false">
      <c r="A106" s="14" t="s">
        <v>256</v>
      </c>
      <c r="B106" s="14"/>
      <c r="C106" s="14"/>
      <c r="D106" s="14"/>
    </row>
    <row r="107" customFormat="false" ht="19.5" hidden="false" customHeight="true" outlineLevel="0" collapsed="false">
      <c r="A107" s="14" t="s">
        <v>257</v>
      </c>
      <c r="B107" s="14"/>
      <c r="C107" s="14"/>
      <c r="D107" s="14"/>
    </row>
    <row r="108" customFormat="false" ht="19.5" hidden="false" customHeight="true" outlineLevel="0" collapsed="false">
      <c r="A108" s="14" t="s">
        <v>258</v>
      </c>
      <c r="B108" s="14"/>
      <c r="C108" s="14"/>
      <c r="D108" s="14"/>
    </row>
    <row r="109" customFormat="false" ht="19.5" hidden="false" customHeight="true" outlineLevel="0" collapsed="false">
      <c r="A109" s="14" t="s">
        <v>259</v>
      </c>
      <c r="B109" s="14"/>
      <c r="C109" s="14"/>
      <c r="D109" s="14"/>
    </row>
    <row r="110" customFormat="false" ht="19.5" hidden="false" customHeight="true" outlineLevel="0" collapsed="false">
      <c r="A110" s="14" t="s">
        <v>260</v>
      </c>
      <c r="B110" s="14"/>
      <c r="C110" s="14"/>
      <c r="D110" s="14"/>
    </row>
    <row r="111" customFormat="false" ht="19.5" hidden="false" customHeight="true" outlineLevel="0" collapsed="false">
      <c r="A111" s="14" t="s">
        <v>261</v>
      </c>
      <c r="B111" s="14"/>
      <c r="C111" s="14"/>
      <c r="D111" s="14"/>
    </row>
  </sheetData>
  <mergeCells count="23">
    <mergeCell ref="A1:D1"/>
    <mergeCell ref="A2:D2"/>
    <mergeCell ref="A5:D5"/>
    <mergeCell ref="A10:D10"/>
    <mergeCell ref="A13:D13"/>
    <mergeCell ref="A16:D16"/>
    <mergeCell ref="A20:D20"/>
    <mergeCell ref="A34:D34"/>
    <mergeCell ref="A38:D38"/>
    <mergeCell ref="A42:D42"/>
    <mergeCell ref="A48:D48"/>
    <mergeCell ref="A65:D65"/>
    <mergeCell ref="A74:D74"/>
    <mergeCell ref="A80:D80"/>
    <mergeCell ref="A86:D86"/>
    <mergeCell ref="A92:D92"/>
    <mergeCell ref="A98:D98"/>
    <mergeCell ref="A106:D106"/>
    <mergeCell ref="A107:D107"/>
    <mergeCell ref="A108:D108"/>
    <mergeCell ref="A109:D109"/>
    <mergeCell ref="A110:D110"/>
    <mergeCell ref="A111:D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1" t="s">
        <v>262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263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64</v>
      </c>
      <c r="E4" s="3" t="s">
        <v>267</v>
      </c>
      <c r="F4" s="3" t="s">
        <v>268</v>
      </c>
    </row>
    <row r="5" customFormat="false" ht="24" hidden="false" customHeight="true" outlineLevel="0" collapsed="false">
      <c r="A5" s="15" t="s">
        <v>269</v>
      </c>
      <c r="B5" s="15"/>
      <c r="C5" s="15"/>
      <c r="D5" s="15"/>
      <c r="E5" s="15"/>
      <c r="F5" s="15"/>
    </row>
    <row r="6" customFormat="false" ht="31.5" hidden="false" customHeight="true" outlineLevel="0" collapsed="false">
      <c r="A6" s="16" t="s">
        <v>270</v>
      </c>
      <c r="B6" s="16" t="s">
        <v>87</v>
      </c>
      <c r="C6" s="17" t="str">
        <f aca="false">IF(D6=0,"OK","FAIL")</f>
        <v>OK</v>
      </c>
      <c r="D6" s="18" t="n">
        <f aca="false">SUMPRODUCT((LEN('Base Case'!A5:A100)&gt;0)*((EXACT('Base Case'!A5:A100,UPPER('Base Case'!A5:A100))=FALSE())+(ISNUMBER(SEARCH(" ",'Base Case'!A5:A100))*1)&gt;0))</f>
        <v>0</v>
      </c>
      <c r="E6" s="19" t="s">
        <v>271</v>
      </c>
      <c r="F6" s="16" t="s">
        <v>272</v>
      </c>
    </row>
    <row r="7" customFormat="false" ht="31.5" hidden="false" customHeight="true" outlineLevel="0" collapsed="false">
      <c r="A7" s="16" t="s">
        <v>273</v>
      </c>
      <c r="B7" s="16" t="s">
        <v>87</v>
      </c>
      <c r="C7" s="17" t="str">
        <f aca="false">IF(D7=0,"OK","FAIL")</f>
        <v>OK</v>
      </c>
      <c r="D7" s="18" t="n">
        <f aca="false">SUMPRODUCT((COUNTIF('Base Case'!A5:A100,'Base Case'!A5:A100)&gt;1)*(LEN('Base Case'!A5:A100)&gt;0))</f>
        <v>0</v>
      </c>
      <c r="E7" s="19" t="s">
        <v>271</v>
      </c>
      <c r="F7" s="16" t="s">
        <v>274</v>
      </c>
    </row>
    <row r="8" customFormat="false" ht="31.5" hidden="false" customHeight="true" outlineLevel="0" collapsed="false">
      <c r="A8" s="16" t="s">
        <v>275</v>
      </c>
      <c r="B8" s="16" t="s">
        <v>87</v>
      </c>
      <c r="C8" s="17" t="str">
        <f aca="false">IF(D8=0,"OK","FAIL")</f>
        <v>OK</v>
      </c>
      <c r="D8" s="18" t="n">
        <f aca="false">SUMPRODUCT((LEN('Base Case'!A5:A100)&gt;0)*(ISNUMBER('Base Case'!E5:E100)=FALSE()))</f>
        <v>0</v>
      </c>
      <c r="E8" s="19" t="s">
        <v>271</v>
      </c>
      <c r="F8" s="16" t="s">
        <v>276</v>
      </c>
    </row>
    <row r="9" customFormat="false" ht="31.5" hidden="false" customHeight="true" outlineLevel="0" collapsed="false">
      <c r="A9" s="16" t="s">
        <v>277</v>
      </c>
      <c r="B9" s="16" t="s">
        <v>87</v>
      </c>
      <c r="C9" s="17" t="str">
        <f aca="false">IF(D9=0,"OK","FAIL")</f>
        <v>OK</v>
      </c>
      <c r="D9" s="18" t="n">
        <f aca="false">SUMPRODUCT((LEN('Base Case'!A5:A100)&gt;0)*(LEN('Base Case'!F5:F100)=0))</f>
        <v>0</v>
      </c>
      <c r="E9" s="20" t="s">
        <v>278</v>
      </c>
      <c r="F9" s="16" t="s">
        <v>279</v>
      </c>
    </row>
    <row r="10" customFormat="false" ht="24" hidden="false" customHeight="true" outlineLevel="0" collapsed="false">
      <c r="A10" s="15" t="s">
        <v>280</v>
      </c>
      <c r="B10" s="15"/>
      <c r="C10" s="15"/>
      <c r="D10" s="15"/>
      <c r="E10" s="15"/>
      <c r="F10" s="15"/>
    </row>
    <row r="11" customFormat="false" ht="31.5" hidden="false" customHeight="true" outlineLevel="0" collapsed="false">
      <c r="A11" s="16" t="s">
        <v>281</v>
      </c>
      <c r="B11" s="16" t="s">
        <v>90</v>
      </c>
      <c r="C11" s="17" t="str">
        <f aca="false">IF(D11=0,"OK","FAIL")</f>
        <v>OK</v>
      </c>
      <c r="D11" s="18" t="n">
        <f aca="false">SUMPRODUCT((LEN('Scenario Library'!E5:E200)&gt;0)*(ISERROR(MATCH('Scenario Library'!E5:E200,'Base Case'!A5:A100,0))*1))</f>
        <v>0</v>
      </c>
      <c r="E11" s="19" t="s">
        <v>271</v>
      </c>
      <c r="F11" s="16" t="s">
        <v>282</v>
      </c>
    </row>
    <row r="12" customFormat="false" ht="31.5" hidden="false" customHeight="true" outlineLevel="0" collapsed="false">
      <c r="A12" s="16" t="s">
        <v>283</v>
      </c>
      <c r="B12" s="16" t="s">
        <v>90</v>
      </c>
      <c r="C12" s="17" t="str">
        <f aca="false">IF(D12=0,"OK","FAIL")</f>
        <v>OK</v>
      </c>
      <c r="D12" s="18" t="n">
        <f aca="false">SUMPRODUCT((LEN('Scenario Library'!F5:F200)&gt;0)*(('Scenario Library'!F5:F200&lt;&gt;"pct")*('Scenario Library'!F5:F200&lt;&gt;"delta")*('Scenario Library'!F5:F200&lt;&gt;"abs")))</f>
        <v>0</v>
      </c>
      <c r="E12" s="19" t="s">
        <v>271</v>
      </c>
      <c r="F12" s="16" t="s">
        <v>284</v>
      </c>
    </row>
    <row r="13" customFormat="false" ht="31.5" hidden="false" customHeight="true" outlineLevel="0" collapsed="false">
      <c r="A13" s="16" t="s">
        <v>285</v>
      </c>
      <c r="B13" s="16" t="s">
        <v>90</v>
      </c>
      <c r="C13" s="17" t="str">
        <f aca="false">IF(D13=0,"OK","FAIL")</f>
        <v>OK</v>
      </c>
      <c r="D13" s="18" t="n">
        <f aca="false">SUMPRODUCT((LEN('Scenario Library'!E5:E200)&gt;0)*(ISNUMBER('Scenario Library'!G5:G200)=FALSE()))</f>
        <v>0</v>
      </c>
      <c r="E13" s="19" t="s">
        <v>271</v>
      </c>
      <c r="F13" s="16" t="s">
        <v>286</v>
      </c>
    </row>
    <row r="14" customFormat="false" ht="24" hidden="false" customHeight="true" outlineLevel="0" collapsed="false">
      <c r="A14" s="15" t="s">
        <v>287</v>
      </c>
      <c r="B14" s="15"/>
      <c r="C14" s="15"/>
      <c r="D14" s="15"/>
      <c r="E14" s="15"/>
      <c r="F14" s="15"/>
    </row>
    <row r="15" customFormat="false" ht="31.5" hidden="false" customHeight="true" outlineLevel="0" collapsed="false">
      <c r="A15" s="16" t="s">
        <v>288</v>
      </c>
      <c r="B15" s="16" t="s">
        <v>289</v>
      </c>
      <c r="C15" s="17" t="str">
        <f aca="false">IF(D15=0,"OK","FAIL")</f>
        <v>OK</v>
      </c>
      <c r="D15" s="18" t="n">
        <f aca="false">IF(ISREF('KRI Register'!A1),0,1)+IF(ISREF('Base Case'!A1),0,1)+IF(ISREF('Scenario Library'!A1),0,1)+IF(ISREF('Dashboard Config'!A1),0,1)</f>
        <v>0</v>
      </c>
      <c r="E15" s="19" t="s">
        <v>271</v>
      </c>
      <c r="F15" s="16" t="s">
        <v>290</v>
      </c>
    </row>
    <row r="16" customFormat="false" ht="31.5" hidden="false" customHeight="true" outlineLevel="0" collapsed="false">
      <c r="A16" s="16" t="s">
        <v>291</v>
      </c>
      <c r="B16" s="16" t="s">
        <v>289</v>
      </c>
      <c r="C16" s="17" t="str">
        <f aca="false">IF(D16=0,"OK","FAIL")</f>
        <v>OK</v>
      </c>
      <c r="D16" s="18" t="n">
        <f aca="false">IF(ISREF(Annual!A1),0,1)+IF(ISREF(Operational_Annual!A1),0,1)+IF(ISREF(Segments_Annual!A1),0,1)+IF(ISREF(Leading_Indicators!A1),0,1)+IF(ISREF(Macro_Context!A1),0,1)</f>
        <v>0</v>
      </c>
      <c r="E16" s="20" t="s">
        <v>278</v>
      </c>
      <c r="F16" s="16" t="s">
        <v>292</v>
      </c>
    </row>
    <row r="17" customFormat="false" ht="31.5" hidden="false" customHeight="true" outlineLevel="0" collapsed="false">
      <c r="A17" s="16" t="s">
        <v>293</v>
      </c>
      <c r="B17" s="16" t="s">
        <v>294</v>
      </c>
      <c r="C17" s="17" t="str">
        <f aca="false">IF(D17=0,"OK","FAIL")</f>
        <v>OK</v>
      </c>
      <c r="D17" s="18" t="n">
        <f aca="false">IF(ISERROR(VLOOKUP("expected_kri_filename",'Dashboard Config'!A:B,2,FALSE())),1,0)+IF(ISERROR(VLOOKUP("autodetect_mode",'Dashboard Config'!A:B,2,FALSE())),1,0)+IF(ISERROR(VLOOKUP("report_title",'Dashboard Config'!A:B,2,FALSE())),1,0)</f>
        <v>0</v>
      </c>
      <c r="E17" s="20" t="s">
        <v>278</v>
      </c>
      <c r="F17" s="16" t="s">
        <v>295</v>
      </c>
    </row>
    <row r="18" customFormat="false" ht="24" hidden="false" customHeight="true" outlineLevel="0" collapsed="false">
      <c r="A18" s="15" t="s">
        <v>296</v>
      </c>
      <c r="B18" s="15"/>
      <c r="C18" s="15"/>
      <c r="D18" s="15"/>
      <c r="E18" s="15"/>
      <c r="F18" s="15"/>
    </row>
    <row r="19" customFormat="false" ht="36" hidden="false" customHeight="true" outlineLevel="0" collapsed="false">
      <c r="A19" s="21" t="s">
        <v>297</v>
      </c>
      <c r="B19" s="16"/>
      <c r="C19" s="22" t="str">
        <f aca="false">IF(D19=0,"DASHBOARD READY","ISSUES FOUND")</f>
        <v>DASHBOARD READY</v>
      </c>
      <c r="D19" s="23" t="n">
        <f aca="false">SUMPRODUCT((E5:E18="BLOCKER")*D5:D18)</f>
        <v>0</v>
      </c>
      <c r="E19" s="16"/>
      <c r="F19" s="16"/>
    </row>
    <row r="20" customFormat="false" ht="15" hidden="false" customHeight="false" outlineLevel="0" collapsed="false">
      <c r="A20" s="24" t="s">
        <v>298</v>
      </c>
      <c r="B20" s="16"/>
      <c r="C20" s="22" t="str">
        <f aca="false">IF(D20=0,"NO WARNINGS","WARNINGS")</f>
        <v>NO WARNINGS</v>
      </c>
      <c r="D20" s="23" t="n">
        <f aca="false">SUMPRODUCT((E5:E18="WARN")*D5:D18)</f>
        <v>0</v>
      </c>
      <c r="E20" s="16"/>
      <c r="F20" s="16"/>
    </row>
  </sheetData>
  <mergeCells count="6">
    <mergeCell ref="A1:F1"/>
    <mergeCell ref="A2:F2"/>
    <mergeCell ref="A5:F5"/>
    <mergeCell ref="A10:F10"/>
    <mergeCell ref="A14:F14"/>
    <mergeCell ref="A18:F18"/>
  </mergeCells>
  <conditionalFormatting sqref="C5:C20">
    <cfRule type="expression" priority="2" aboveAverage="0" equalAverage="0" bottom="0" percent="0" rank="0" text="" dxfId="0">
      <formula>$C5="OK"</formula>
    </cfRule>
    <cfRule type="expression" priority="3" aboveAverage="0" equalAverage="0" bottom="0" percent="0" rank="0" text="" dxfId="1">
      <formula>$C5="FAIL"</formula>
    </cfRule>
    <cfRule type="expression" priority="4" aboveAverage="0" equalAverage="0" bottom="0" percent="0" rank="0" text="" dxfId="2">
      <formula>$C5="DASHBOARD READY"</formula>
    </cfRule>
    <cfRule type="expression" priority="5" aboveAverage="0" equalAverage="0" bottom="0" percent="0" rank="0" text="" dxfId="3">
      <formula>$C5="ISSUES FOUND"</formula>
    </cfRule>
    <cfRule type="expression" priority="6" aboveAverage="0" equalAverage="0" bottom="0" percent="0" rank="0" text="" dxfId="4">
      <formula>$C5="WARNINGS"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28"/>
    <col collapsed="false" customWidth="true" hidden="false" outlineLevel="0" max="16" min="16" style="0" width="30"/>
  </cols>
  <sheetData>
    <row r="1" customFormat="false" ht="48" hidden="false" customHeight="true" outlineLevel="0" collapsed="false">
      <c r="A1" s="3" t="s">
        <v>63</v>
      </c>
      <c r="B1" s="3" t="s">
        <v>299</v>
      </c>
      <c r="C1" s="3" t="s">
        <v>300</v>
      </c>
      <c r="D1" s="3" t="s">
        <v>301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309</v>
      </c>
      <c r="M1" s="3" t="s">
        <v>310</v>
      </c>
      <c r="N1" s="3" t="s">
        <v>311</v>
      </c>
      <c r="O1" s="3" t="s">
        <v>312</v>
      </c>
      <c r="P1" s="3" t="s">
        <v>313</v>
      </c>
    </row>
    <row r="2" customFormat="false" ht="36" hidden="false" customHeight="true" outlineLevel="0" collapsed="false">
      <c r="A2" s="16" t="n">
        <v>1</v>
      </c>
      <c r="B2" s="25" t="s">
        <v>130</v>
      </c>
      <c r="C2" s="16" t="s">
        <v>130</v>
      </c>
      <c r="D2" s="16" t="s">
        <v>314</v>
      </c>
      <c r="E2" s="26" t="s">
        <v>315</v>
      </c>
      <c r="F2" s="16" t="s">
        <v>224</v>
      </c>
      <c r="G2" s="16" t="s">
        <v>316</v>
      </c>
      <c r="H2" s="16" t="s">
        <v>317</v>
      </c>
      <c r="I2" s="27" t="s">
        <v>318</v>
      </c>
      <c r="J2" s="28" t="s">
        <v>319</v>
      </c>
      <c r="K2" s="29" t="s">
        <v>320</v>
      </c>
      <c r="L2" s="16" t="n">
        <v>36.2</v>
      </c>
      <c r="M2" s="30" t="s">
        <v>321</v>
      </c>
      <c r="N2" s="31" t="s">
        <v>322</v>
      </c>
      <c r="O2" s="16" t="s">
        <v>323</v>
      </c>
      <c r="P2" s="16" t="s">
        <v>324</v>
      </c>
    </row>
    <row r="3" customFormat="false" ht="36" hidden="false" customHeight="true" outlineLevel="0" collapsed="false">
      <c r="A3" s="16" t="n">
        <v>2</v>
      </c>
      <c r="B3" s="25" t="s">
        <v>130</v>
      </c>
      <c r="C3" s="16" t="s">
        <v>130</v>
      </c>
      <c r="D3" s="16" t="s">
        <v>325</v>
      </c>
      <c r="E3" s="26" t="s">
        <v>315</v>
      </c>
      <c r="F3" s="16" t="s">
        <v>224</v>
      </c>
      <c r="G3" s="16" t="s">
        <v>316</v>
      </c>
      <c r="H3" s="16" t="s">
        <v>317</v>
      </c>
      <c r="I3" s="27" t="s">
        <v>326</v>
      </c>
      <c r="J3" s="28" t="s">
        <v>327</v>
      </c>
      <c r="K3" s="29" t="s">
        <v>328</v>
      </c>
      <c r="L3" s="16" t="n">
        <v>60.1</v>
      </c>
      <c r="M3" s="30" t="s">
        <v>321</v>
      </c>
      <c r="N3" s="31" t="s">
        <v>322</v>
      </c>
      <c r="O3" s="16" t="s">
        <v>329</v>
      </c>
      <c r="P3" s="16" t="s">
        <v>324</v>
      </c>
    </row>
    <row r="4" customFormat="false" ht="36" hidden="false" customHeight="true" outlineLevel="0" collapsed="false">
      <c r="A4" s="16" t="n">
        <v>3</v>
      </c>
      <c r="B4" s="25" t="s">
        <v>130</v>
      </c>
      <c r="C4" s="16" t="s">
        <v>130</v>
      </c>
      <c r="D4" s="16" t="s">
        <v>330</v>
      </c>
      <c r="E4" s="26" t="s">
        <v>315</v>
      </c>
      <c r="F4" s="16" t="s">
        <v>224</v>
      </c>
      <c r="G4" s="16" t="s">
        <v>316</v>
      </c>
      <c r="H4" s="16" t="s">
        <v>317</v>
      </c>
      <c r="I4" s="27" t="s">
        <v>318</v>
      </c>
      <c r="J4" s="28" t="s">
        <v>319</v>
      </c>
      <c r="K4" s="29" t="s">
        <v>320</v>
      </c>
      <c r="L4" s="16" t="n">
        <v>43.5</v>
      </c>
      <c r="M4" s="30" t="s">
        <v>321</v>
      </c>
      <c r="N4" s="31" t="s">
        <v>322</v>
      </c>
      <c r="O4" s="16" t="s">
        <v>331</v>
      </c>
      <c r="P4" s="16" t="s">
        <v>324</v>
      </c>
    </row>
    <row r="5" customFormat="false" ht="36" hidden="false" customHeight="true" outlineLevel="0" collapsed="false">
      <c r="A5" s="16" t="n">
        <v>4</v>
      </c>
      <c r="B5" s="25" t="s">
        <v>130</v>
      </c>
      <c r="C5" s="16" t="s">
        <v>130</v>
      </c>
      <c r="D5" s="16" t="s">
        <v>332</v>
      </c>
      <c r="E5" s="26" t="s">
        <v>315</v>
      </c>
      <c r="F5" s="16" t="s">
        <v>224</v>
      </c>
      <c r="G5" s="16" t="s">
        <v>316</v>
      </c>
      <c r="H5" s="16" t="s">
        <v>317</v>
      </c>
      <c r="I5" s="27" t="s">
        <v>333</v>
      </c>
      <c r="J5" s="28" t="s">
        <v>334</v>
      </c>
      <c r="K5" s="29" t="s">
        <v>335</v>
      </c>
      <c r="L5" s="16" t="n">
        <v>55.9</v>
      </c>
      <c r="M5" s="30" t="s">
        <v>321</v>
      </c>
      <c r="N5" s="31" t="s">
        <v>322</v>
      </c>
      <c r="O5" s="16" t="s">
        <v>336</v>
      </c>
      <c r="P5" s="16" t="s">
        <v>324</v>
      </c>
    </row>
    <row r="6" customFormat="false" ht="36" hidden="false" customHeight="true" outlineLevel="0" collapsed="false">
      <c r="A6" s="16" t="n">
        <v>5</v>
      </c>
      <c r="B6" s="25" t="s">
        <v>130</v>
      </c>
      <c r="C6" s="16" t="s">
        <v>130</v>
      </c>
      <c r="D6" s="16" t="s">
        <v>337</v>
      </c>
      <c r="E6" s="26" t="s">
        <v>315</v>
      </c>
      <c r="F6" s="16" t="s">
        <v>224</v>
      </c>
      <c r="G6" s="16" t="s">
        <v>316</v>
      </c>
      <c r="H6" s="16" t="s">
        <v>317</v>
      </c>
      <c r="I6" s="27" t="s">
        <v>318</v>
      </c>
      <c r="J6" s="28" t="s">
        <v>338</v>
      </c>
      <c r="K6" s="29" t="s">
        <v>335</v>
      </c>
      <c r="L6" s="16" t="n">
        <v>32</v>
      </c>
      <c r="M6" s="30" t="s">
        <v>321</v>
      </c>
      <c r="N6" s="31" t="s">
        <v>322</v>
      </c>
      <c r="O6" s="16" t="s">
        <v>339</v>
      </c>
      <c r="P6" s="16" t="s">
        <v>324</v>
      </c>
    </row>
    <row r="7" customFormat="false" ht="36" hidden="false" customHeight="true" outlineLevel="0" collapsed="false">
      <c r="A7" s="16" t="n">
        <v>6</v>
      </c>
      <c r="B7" s="25" t="s">
        <v>130</v>
      </c>
      <c r="C7" s="16" t="s">
        <v>130</v>
      </c>
      <c r="D7" s="16" t="s">
        <v>340</v>
      </c>
      <c r="E7" s="26" t="s">
        <v>315</v>
      </c>
      <c r="F7" s="16" t="s">
        <v>224</v>
      </c>
      <c r="G7" s="16" t="s">
        <v>316</v>
      </c>
      <c r="H7" s="16" t="s">
        <v>317</v>
      </c>
      <c r="I7" s="27" t="s">
        <v>341</v>
      </c>
      <c r="J7" s="28" t="s">
        <v>342</v>
      </c>
      <c r="K7" s="29" t="s">
        <v>343</v>
      </c>
      <c r="L7" s="16" t="s">
        <v>344</v>
      </c>
      <c r="M7" s="30" t="s">
        <v>321</v>
      </c>
      <c r="N7" s="31" t="s">
        <v>322</v>
      </c>
      <c r="O7" s="16" t="s">
        <v>345</v>
      </c>
      <c r="P7" s="16" t="s">
        <v>324</v>
      </c>
    </row>
    <row r="8" customFormat="false" ht="36" hidden="false" customHeight="true" outlineLevel="0" collapsed="false">
      <c r="A8" s="16" t="n">
        <v>7</v>
      </c>
      <c r="B8" s="25" t="s">
        <v>130</v>
      </c>
      <c r="C8" s="16" t="s">
        <v>130</v>
      </c>
      <c r="D8" s="16" t="s">
        <v>346</v>
      </c>
      <c r="E8" s="26" t="s">
        <v>315</v>
      </c>
      <c r="F8" s="16" t="s">
        <v>224</v>
      </c>
      <c r="G8" s="16" t="s">
        <v>316</v>
      </c>
      <c r="H8" s="16" t="s">
        <v>317</v>
      </c>
      <c r="I8" s="27" t="s">
        <v>338</v>
      </c>
      <c r="J8" s="28" t="s">
        <v>347</v>
      </c>
      <c r="K8" s="29" t="s">
        <v>348</v>
      </c>
      <c r="L8" s="16" t="n">
        <v>22.7</v>
      </c>
      <c r="M8" s="30" t="s">
        <v>321</v>
      </c>
      <c r="N8" s="31" t="s">
        <v>322</v>
      </c>
      <c r="O8" s="16" t="s">
        <v>349</v>
      </c>
      <c r="P8" s="16" t="s">
        <v>324</v>
      </c>
    </row>
    <row r="9" customFormat="false" ht="36" hidden="false" customHeight="true" outlineLevel="0" collapsed="false">
      <c r="A9" s="16" t="n">
        <v>8</v>
      </c>
      <c r="B9" s="25" t="s">
        <v>130</v>
      </c>
      <c r="C9" s="16" t="s">
        <v>130</v>
      </c>
      <c r="D9" s="16" t="s">
        <v>350</v>
      </c>
      <c r="E9" s="26" t="s">
        <v>315</v>
      </c>
      <c r="F9" s="16" t="s">
        <v>224</v>
      </c>
      <c r="G9" s="16" t="s">
        <v>316</v>
      </c>
      <c r="H9" s="16" t="s">
        <v>317</v>
      </c>
      <c r="I9" s="27" t="s">
        <v>333</v>
      </c>
      <c r="J9" s="28" t="s">
        <v>334</v>
      </c>
      <c r="K9" s="29" t="s">
        <v>335</v>
      </c>
      <c r="L9" s="16" t="n">
        <v>55.9</v>
      </c>
      <c r="M9" s="30" t="s">
        <v>321</v>
      </c>
      <c r="N9" s="31" t="s">
        <v>322</v>
      </c>
      <c r="O9" s="16" t="s">
        <v>351</v>
      </c>
      <c r="P9" s="16" t="s">
        <v>324</v>
      </c>
    </row>
    <row r="10" customFormat="false" ht="36" hidden="false" customHeight="true" outlineLevel="0" collapsed="false">
      <c r="A10" s="16" t="n">
        <v>9</v>
      </c>
      <c r="B10" s="25" t="s">
        <v>119</v>
      </c>
      <c r="C10" s="16" t="s">
        <v>352</v>
      </c>
      <c r="D10" s="16" t="s">
        <v>353</v>
      </c>
      <c r="E10" s="26" t="s">
        <v>315</v>
      </c>
      <c r="F10" s="16" t="s">
        <v>224</v>
      </c>
      <c r="G10" s="16" t="s">
        <v>316</v>
      </c>
      <c r="H10" s="16" t="s">
        <v>317</v>
      </c>
      <c r="I10" s="27" t="s">
        <v>354</v>
      </c>
      <c r="J10" s="28" t="s">
        <v>355</v>
      </c>
      <c r="K10" s="29" t="s">
        <v>356</v>
      </c>
      <c r="L10" s="16" t="n">
        <v>6.9</v>
      </c>
      <c r="M10" s="30" t="s">
        <v>321</v>
      </c>
      <c r="N10" s="31" t="s">
        <v>322</v>
      </c>
      <c r="O10" s="16" t="s">
        <v>357</v>
      </c>
      <c r="P10" s="16" t="s">
        <v>324</v>
      </c>
    </row>
    <row r="11" customFormat="false" ht="36" hidden="false" customHeight="true" outlineLevel="0" collapsed="false">
      <c r="A11" s="16" t="n">
        <v>10</v>
      </c>
      <c r="B11" s="25" t="s">
        <v>119</v>
      </c>
      <c r="C11" s="16" t="s">
        <v>352</v>
      </c>
      <c r="D11" s="16" t="s">
        <v>358</v>
      </c>
      <c r="E11" s="26" t="s">
        <v>315</v>
      </c>
      <c r="F11" s="16" t="s">
        <v>224</v>
      </c>
      <c r="G11" s="16" t="s">
        <v>316</v>
      </c>
      <c r="H11" s="16" t="s">
        <v>317</v>
      </c>
      <c r="I11" s="27" t="s">
        <v>359</v>
      </c>
      <c r="J11" s="28" t="s">
        <v>360</v>
      </c>
      <c r="K11" s="29" t="s">
        <v>361</v>
      </c>
      <c r="L11" s="16" t="n">
        <v>52.6</v>
      </c>
      <c r="M11" s="30" t="s">
        <v>321</v>
      </c>
      <c r="N11" s="31" t="s">
        <v>322</v>
      </c>
      <c r="O11" s="16" t="s">
        <v>362</v>
      </c>
      <c r="P11" s="16" t="s">
        <v>324</v>
      </c>
    </row>
    <row r="12" customFormat="false" ht="36" hidden="false" customHeight="true" outlineLevel="0" collapsed="false">
      <c r="A12" s="16" t="n">
        <v>11</v>
      </c>
      <c r="B12" s="25" t="s">
        <v>119</v>
      </c>
      <c r="C12" s="16" t="s">
        <v>352</v>
      </c>
      <c r="D12" s="16" t="s">
        <v>363</v>
      </c>
      <c r="E12" s="26" t="s">
        <v>315</v>
      </c>
      <c r="F12" s="16" t="s">
        <v>224</v>
      </c>
      <c r="G12" s="16" t="s">
        <v>316</v>
      </c>
      <c r="H12" s="16" t="s">
        <v>317</v>
      </c>
      <c r="I12" s="27" t="s">
        <v>364</v>
      </c>
      <c r="J12" s="28" t="s">
        <v>365</v>
      </c>
      <c r="K12" s="29" t="s">
        <v>335</v>
      </c>
      <c r="L12" s="16" t="n">
        <v>-7.5</v>
      </c>
      <c r="M12" s="30" t="s">
        <v>321</v>
      </c>
      <c r="N12" s="31" t="s">
        <v>322</v>
      </c>
      <c r="O12" s="16" t="s">
        <v>366</v>
      </c>
      <c r="P12" s="16" t="s">
        <v>324</v>
      </c>
    </row>
    <row r="13" customFormat="false" ht="36" hidden="false" customHeight="true" outlineLevel="0" collapsed="false">
      <c r="A13" s="16" t="n">
        <v>12</v>
      </c>
      <c r="B13" s="25" t="s">
        <v>119</v>
      </c>
      <c r="C13" s="16" t="s">
        <v>352</v>
      </c>
      <c r="D13" s="16" t="s">
        <v>367</v>
      </c>
      <c r="E13" s="26" t="s">
        <v>315</v>
      </c>
      <c r="F13" s="16" t="s">
        <v>224</v>
      </c>
      <c r="G13" s="16" t="s">
        <v>316</v>
      </c>
      <c r="H13" s="16" t="s">
        <v>317</v>
      </c>
      <c r="I13" s="27" t="s">
        <v>368</v>
      </c>
      <c r="J13" s="28" t="s">
        <v>369</v>
      </c>
      <c r="K13" s="29" t="s">
        <v>335</v>
      </c>
      <c r="L13" s="16" t="n">
        <v>24.6</v>
      </c>
      <c r="M13" s="30" t="s">
        <v>321</v>
      </c>
      <c r="N13" s="31" t="s">
        <v>322</v>
      </c>
      <c r="O13" s="16" t="s">
        <v>370</v>
      </c>
      <c r="P13" s="16" t="s">
        <v>324</v>
      </c>
    </row>
    <row r="14" customFormat="false" ht="36" hidden="false" customHeight="true" outlineLevel="0" collapsed="false">
      <c r="A14" s="16" t="n">
        <v>13</v>
      </c>
      <c r="B14" s="25" t="s">
        <v>119</v>
      </c>
      <c r="C14" s="16" t="s">
        <v>352</v>
      </c>
      <c r="D14" s="16" t="s">
        <v>371</v>
      </c>
      <c r="E14" s="26" t="s">
        <v>315</v>
      </c>
      <c r="F14" s="16" t="s">
        <v>224</v>
      </c>
      <c r="G14" s="16" t="s">
        <v>316</v>
      </c>
      <c r="H14" s="16" t="s">
        <v>317</v>
      </c>
      <c r="I14" s="27" t="s">
        <v>372</v>
      </c>
      <c r="J14" s="28" t="s">
        <v>373</v>
      </c>
      <c r="K14" s="29" t="s">
        <v>374</v>
      </c>
      <c r="L14" s="16" t="n">
        <v>7.5</v>
      </c>
      <c r="M14" s="30" t="s">
        <v>321</v>
      </c>
      <c r="N14" s="31" t="s">
        <v>322</v>
      </c>
      <c r="O14" s="16" t="s">
        <v>375</v>
      </c>
      <c r="P14" s="16" t="s">
        <v>324</v>
      </c>
    </row>
    <row r="15" customFormat="false" ht="36" hidden="false" customHeight="true" outlineLevel="0" collapsed="false">
      <c r="A15" s="16" t="n">
        <v>14</v>
      </c>
      <c r="B15" s="25" t="s">
        <v>119</v>
      </c>
      <c r="C15" s="16" t="s">
        <v>352</v>
      </c>
      <c r="D15" s="16" t="s">
        <v>376</v>
      </c>
      <c r="E15" s="26" t="s">
        <v>315</v>
      </c>
      <c r="F15" s="16" t="s">
        <v>224</v>
      </c>
      <c r="G15" s="16" t="s">
        <v>316</v>
      </c>
      <c r="H15" s="16" t="s">
        <v>317</v>
      </c>
      <c r="I15" s="27" t="s">
        <v>359</v>
      </c>
      <c r="J15" s="28" t="s">
        <v>377</v>
      </c>
      <c r="K15" s="29" t="s">
        <v>378</v>
      </c>
      <c r="L15" s="16" t="n">
        <v>-45.7</v>
      </c>
      <c r="M15" s="30" t="s">
        <v>321</v>
      </c>
      <c r="N15" s="31" t="s">
        <v>322</v>
      </c>
      <c r="O15" s="16" t="s">
        <v>379</v>
      </c>
      <c r="P15" s="16" t="s">
        <v>324</v>
      </c>
    </row>
    <row r="16" customFormat="false" ht="36" hidden="false" customHeight="true" outlineLevel="0" collapsed="false">
      <c r="A16" s="16" t="n">
        <v>15</v>
      </c>
      <c r="B16" s="25" t="s">
        <v>119</v>
      </c>
      <c r="C16" s="16" t="s">
        <v>352</v>
      </c>
      <c r="D16" s="16" t="s">
        <v>380</v>
      </c>
      <c r="E16" s="26" t="s">
        <v>315</v>
      </c>
      <c r="F16" s="16" t="s">
        <v>224</v>
      </c>
      <c r="G16" s="16" t="s">
        <v>316</v>
      </c>
      <c r="H16" s="16" t="s">
        <v>317</v>
      </c>
      <c r="I16" s="27" t="s">
        <v>381</v>
      </c>
      <c r="J16" s="28" t="s">
        <v>382</v>
      </c>
      <c r="K16" s="29" t="s">
        <v>383</v>
      </c>
      <c r="L16" s="16" t="n">
        <v>1.7</v>
      </c>
      <c r="M16" s="30" t="s">
        <v>321</v>
      </c>
      <c r="N16" s="31" t="s">
        <v>322</v>
      </c>
      <c r="O16" s="16" t="s">
        <v>384</v>
      </c>
      <c r="P16" s="16" t="s">
        <v>324</v>
      </c>
    </row>
    <row r="17" customFormat="false" ht="36" hidden="false" customHeight="true" outlineLevel="0" collapsed="false">
      <c r="A17" s="16" t="n">
        <v>16</v>
      </c>
      <c r="B17" s="25" t="s">
        <v>140</v>
      </c>
      <c r="C17" s="16" t="s">
        <v>140</v>
      </c>
      <c r="D17" s="16" t="s">
        <v>385</v>
      </c>
      <c r="E17" s="26" t="s">
        <v>315</v>
      </c>
      <c r="F17" s="16" t="s">
        <v>224</v>
      </c>
      <c r="G17" s="16" t="s">
        <v>316</v>
      </c>
      <c r="H17" s="16" t="s">
        <v>317</v>
      </c>
      <c r="I17" s="27" t="s">
        <v>372</v>
      </c>
      <c r="J17" s="28" t="s">
        <v>386</v>
      </c>
      <c r="K17" s="29" t="s">
        <v>387</v>
      </c>
      <c r="L17" s="16" t="n">
        <v>9.5</v>
      </c>
      <c r="M17" s="30" t="s">
        <v>321</v>
      </c>
      <c r="N17" s="31" t="s">
        <v>322</v>
      </c>
      <c r="O17" s="16" t="s">
        <v>388</v>
      </c>
      <c r="P17" s="16" t="s">
        <v>324</v>
      </c>
    </row>
    <row r="18" customFormat="false" ht="36" hidden="false" customHeight="true" outlineLevel="0" collapsed="false">
      <c r="A18" s="16" t="n">
        <v>17</v>
      </c>
      <c r="B18" s="25" t="s">
        <v>140</v>
      </c>
      <c r="C18" s="16" t="s">
        <v>140</v>
      </c>
      <c r="D18" s="16" t="s">
        <v>389</v>
      </c>
      <c r="E18" s="26" t="s">
        <v>315</v>
      </c>
      <c r="F18" s="16" t="s">
        <v>224</v>
      </c>
      <c r="G18" s="16" t="s">
        <v>316</v>
      </c>
      <c r="H18" s="16" t="s">
        <v>317</v>
      </c>
      <c r="I18" s="27" t="s">
        <v>390</v>
      </c>
      <c r="J18" s="28" t="s">
        <v>391</v>
      </c>
      <c r="K18" s="29" t="s">
        <v>392</v>
      </c>
      <c r="L18" s="16" t="n">
        <v>13.7</v>
      </c>
      <c r="M18" s="30" t="s">
        <v>321</v>
      </c>
      <c r="N18" s="31" t="s">
        <v>322</v>
      </c>
      <c r="O18" s="16" t="s">
        <v>393</v>
      </c>
      <c r="P18" s="16" t="s">
        <v>324</v>
      </c>
    </row>
    <row r="19" customFormat="false" ht="36" hidden="false" customHeight="true" outlineLevel="0" collapsed="false">
      <c r="A19" s="16" t="n">
        <v>18</v>
      </c>
      <c r="B19" s="25" t="s">
        <v>140</v>
      </c>
      <c r="C19" s="16" t="s">
        <v>140</v>
      </c>
      <c r="D19" s="16" t="s">
        <v>394</v>
      </c>
      <c r="E19" s="26" t="s">
        <v>315</v>
      </c>
      <c r="F19" s="16" t="s">
        <v>224</v>
      </c>
      <c r="G19" s="16" t="s">
        <v>316</v>
      </c>
      <c r="H19" s="16" t="s">
        <v>317</v>
      </c>
      <c r="I19" s="27" t="s">
        <v>390</v>
      </c>
      <c r="J19" s="28" t="s">
        <v>391</v>
      </c>
      <c r="K19" s="29" t="s">
        <v>392</v>
      </c>
      <c r="L19" s="16" t="n">
        <v>12.2</v>
      </c>
      <c r="M19" s="30" t="s">
        <v>321</v>
      </c>
      <c r="N19" s="31" t="s">
        <v>322</v>
      </c>
      <c r="O19" s="16" t="s">
        <v>395</v>
      </c>
      <c r="P19" s="16" t="s">
        <v>324</v>
      </c>
    </row>
    <row r="20" customFormat="false" ht="36" hidden="false" customHeight="true" outlineLevel="0" collapsed="false">
      <c r="A20" s="16" t="n">
        <v>19</v>
      </c>
      <c r="B20" s="25" t="s">
        <v>140</v>
      </c>
      <c r="C20" s="16" t="s">
        <v>140</v>
      </c>
      <c r="D20" s="16" t="s">
        <v>396</v>
      </c>
      <c r="E20" s="26" t="s">
        <v>315</v>
      </c>
      <c r="F20" s="16" t="s">
        <v>397</v>
      </c>
      <c r="G20" s="16" t="s">
        <v>316</v>
      </c>
      <c r="H20" s="16" t="s">
        <v>317</v>
      </c>
      <c r="I20" s="27" t="s">
        <v>390</v>
      </c>
      <c r="J20" s="28" t="s">
        <v>398</v>
      </c>
      <c r="K20" s="29" t="s">
        <v>399</v>
      </c>
      <c r="L20" s="16" t="n">
        <v>14.5</v>
      </c>
      <c r="M20" s="30" t="s">
        <v>321</v>
      </c>
      <c r="N20" s="31" t="s">
        <v>322</v>
      </c>
      <c r="O20" s="16" t="s">
        <v>400</v>
      </c>
      <c r="P20" s="16" t="s">
        <v>324</v>
      </c>
    </row>
    <row r="21" customFormat="false" ht="36" hidden="false" customHeight="true" outlineLevel="0" collapsed="false">
      <c r="A21" s="16" t="n">
        <v>20</v>
      </c>
      <c r="B21" s="25" t="s">
        <v>140</v>
      </c>
      <c r="C21" s="16" t="s">
        <v>140</v>
      </c>
      <c r="D21" s="16" t="s">
        <v>401</v>
      </c>
      <c r="E21" s="26" t="s">
        <v>315</v>
      </c>
      <c r="F21" s="16" t="s">
        <v>224</v>
      </c>
      <c r="G21" s="16" t="s">
        <v>316</v>
      </c>
      <c r="H21" s="16" t="s">
        <v>317</v>
      </c>
      <c r="I21" s="27" t="s">
        <v>402</v>
      </c>
      <c r="J21" s="28" t="s">
        <v>403</v>
      </c>
      <c r="K21" s="29" t="s">
        <v>404</v>
      </c>
      <c r="L21" s="16" t="n">
        <v>99.5</v>
      </c>
      <c r="M21" s="30" t="s">
        <v>321</v>
      </c>
      <c r="N21" s="31" t="s">
        <v>322</v>
      </c>
      <c r="O21" s="16" t="s">
        <v>405</v>
      </c>
      <c r="P21" s="16" t="s">
        <v>324</v>
      </c>
    </row>
    <row r="22" customFormat="false" ht="36" hidden="false" customHeight="true" outlineLevel="0" collapsed="false">
      <c r="A22" s="16" t="n">
        <v>21</v>
      </c>
      <c r="B22" s="25" t="s">
        <v>140</v>
      </c>
      <c r="C22" s="16" t="s">
        <v>406</v>
      </c>
      <c r="D22" s="16" t="s">
        <v>407</v>
      </c>
      <c r="E22" s="32" t="s">
        <v>406</v>
      </c>
      <c r="F22" s="16" t="s">
        <v>408</v>
      </c>
      <c r="G22" s="16" t="s">
        <v>316</v>
      </c>
      <c r="H22" s="16" t="s">
        <v>317</v>
      </c>
      <c r="I22" s="27" t="s">
        <v>409</v>
      </c>
      <c r="J22" s="28" t="s">
        <v>410</v>
      </c>
      <c r="K22" s="29" t="s">
        <v>411</v>
      </c>
      <c r="L22" s="16" t="n">
        <v>70</v>
      </c>
      <c r="M22" s="30" t="s">
        <v>321</v>
      </c>
      <c r="N22" s="31" t="s">
        <v>322</v>
      </c>
      <c r="O22" s="16" t="s">
        <v>412</v>
      </c>
      <c r="P22" s="16" t="s">
        <v>324</v>
      </c>
    </row>
    <row r="23" customFormat="false" ht="36" hidden="false" customHeight="true" outlineLevel="0" collapsed="false">
      <c r="A23" s="16" t="n">
        <v>22</v>
      </c>
      <c r="B23" s="25" t="s">
        <v>140</v>
      </c>
      <c r="C23" s="16" t="s">
        <v>406</v>
      </c>
      <c r="D23" s="16" t="s">
        <v>413</v>
      </c>
      <c r="E23" s="32" t="s">
        <v>406</v>
      </c>
      <c r="F23" s="16" t="s">
        <v>224</v>
      </c>
      <c r="G23" s="16" t="s">
        <v>316</v>
      </c>
      <c r="H23" s="16" t="s">
        <v>317</v>
      </c>
      <c r="I23" s="27" t="s">
        <v>414</v>
      </c>
      <c r="J23" s="28" t="s">
        <v>415</v>
      </c>
      <c r="K23" s="29" t="s">
        <v>416</v>
      </c>
      <c r="L23" s="16" t="n">
        <v>82</v>
      </c>
      <c r="M23" s="30" t="s">
        <v>321</v>
      </c>
      <c r="N23" s="31" t="s">
        <v>322</v>
      </c>
      <c r="O23" s="16" t="s">
        <v>417</v>
      </c>
      <c r="P23" s="16" t="s">
        <v>324</v>
      </c>
    </row>
    <row r="24" customFormat="false" ht="36" hidden="false" customHeight="true" outlineLevel="0" collapsed="false">
      <c r="A24" s="16" t="n">
        <v>23</v>
      </c>
      <c r="B24" s="25" t="s">
        <v>140</v>
      </c>
      <c r="C24" s="16" t="s">
        <v>406</v>
      </c>
      <c r="D24" s="16" t="s">
        <v>418</v>
      </c>
      <c r="E24" s="32" t="s">
        <v>406</v>
      </c>
      <c r="F24" s="16" t="s">
        <v>224</v>
      </c>
      <c r="G24" s="16" t="s">
        <v>316</v>
      </c>
      <c r="H24" s="16" t="s">
        <v>317</v>
      </c>
      <c r="I24" s="27" t="s">
        <v>387</v>
      </c>
      <c r="J24" s="28" t="s">
        <v>386</v>
      </c>
      <c r="K24" s="29" t="s">
        <v>372</v>
      </c>
      <c r="L24" s="16" t="n">
        <v>1.7</v>
      </c>
      <c r="M24" s="30" t="s">
        <v>321</v>
      </c>
      <c r="N24" s="31" t="s">
        <v>322</v>
      </c>
      <c r="O24" s="16" t="s">
        <v>419</v>
      </c>
      <c r="P24" s="16" t="s">
        <v>324</v>
      </c>
    </row>
    <row r="25" customFormat="false" ht="36" hidden="false" customHeight="true" outlineLevel="0" collapsed="false">
      <c r="A25" s="16" t="n">
        <v>24</v>
      </c>
      <c r="B25" s="25" t="s">
        <v>140</v>
      </c>
      <c r="C25" s="16" t="s">
        <v>406</v>
      </c>
      <c r="D25" s="16" t="s">
        <v>420</v>
      </c>
      <c r="E25" s="32" t="s">
        <v>406</v>
      </c>
      <c r="F25" s="16" t="s">
        <v>421</v>
      </c>
      <c r="G25" s="16" t="s">
        <v>316</v>
      </c>
      <c r="H25" s="16" t="s">
        <v>317</v>
      </c>
      <c r="I25" s="27" t="s">
        <v>422</v>
      </c>
      <c r="J25" s="28" t="s">
        <v>423</v>
      </c>
      <c r="K25" s="29" t="s">
        <v>424</v>
      </c>
      <c r="L25" s="16" t="n">
        <v>76</v>
      </c>
      <c r="M25" s="30" t="s">
        <v>321</v>
      </c>
      <c r="N25" s="31" t="s">
        <v>322</v>
      </c>
      <c r="O25" s="16" t="s">
        <v>425</v>
      </c>
      <c r="P25" s="16" t="s">
        <v>324</v>
      </c>
    </row>
    <row r="26" customFormat="false" ht="36" hidden="false" customHeight="true" outlineLevel="0" collapsed="false">
      <c r="A26" s="16" t="n">
        <v>25</v>
      </c>
      <c r="B26" s="25" t="s">
        <v>140</v>
      </c>
      <c r="C26" s="16" t="s">
        <v>406</v>
      </c>
      <c r="D26" s="16" t="s">
        <v>426</v>
      </c>
      <c r="E26" s="32" t="s">
        <v>406</v>
      </c>
      <c r="F26" s="16" t="s">
        <v>427</v>
      </c>
      <c r="G26" s="16" t="s">
        <v>316</v>
      </c>
      <c r="H26" s="16" t="s">
        <v>317</v>
      </c>
      <c r="I26" s="27" t="s">
        <v>428</v>
      </c>
      <c r="J26" s="28" t="s">
        <v>429</v>
      </c>
      <c r="K26" s="29" t="s">
        <v>430</v>
      </c>
      <c r="L26" s="16" t="n">
        <v>174</v>
      </c>
      <c r="M26" s="30" t="s">
        <v>321</v>
      </c>
      <c r="N26" s="31" t="s">
        <v>322</v>
      </c>
      <c r="O26" s="16" t="s">
        <v>431</v>
      </c>
      <c r="P26" s="16" t="s">
        <v>324</v>
      </c>
    </row>
    <row r="27" customFormat="false" ht="36" hidden="false" customHeight="true" outlineLevel="0" collapsed="false">
      <c r="A27" s="16" t="n">
        <v>26</v>
      </c>
      <c r="B27" s="25" t="s">
        <v>140</v>
      </c>
      <c r="C27" s="16" t="s">
        <v>406</v>
      </c>
      <c r="D27" s="16" t="s">
        <v>432</v>
      </c>
      <c r="E27" s="32" t="s">
        <v>406</v>
      </c>
      <c r="F27" s="16" t="s">
        <v>433</v>
      </c>
      <c r="G27" s="16" t="s">
        <v>316</v>
      </c>
      <c r="H27" s="16" t="s">
        <v>317</v>
      </c>
      <c r="I27" s="27" t="s">
        <v>378</v>
      </c>
      <c r="J27" s="28" t="s">
        <v>434</v>
      </c>
      <c r="K27" s="29" t="s">
        <v>354</v>
      </c>
      <c r="L27" s="16" t="n">
        <v>25</v>
      </c>
      <c r="M27" s="30" t="s">
        <v>321</v>
      </c>
      <c r="N27" s="31" t="s">
        <v>322</v>
      </c>
      <c r="O27" s="16" t="s">
        <v>435</v>
      </c>
      <c r="P27" s="16" t="s">
        <v>324</v>
      </c>
    </row>
    <row r="28" customFormat="false" ht="36" hidden="false" customHeight="true" outlineLevel="0" collapsed="false">
      <c r="A28" s="16" t="n">
        <v>27</v>
      </c>
      <c r="B28" s="25" t="s">
        <v>140</v>
      </c>
      <c r="C28" s="16" t="s">
        <v>406</v>
      </c>
      <c r="D28" s="16" t="s">
        <v>436</v>
      </c>
      <c r="E28" s="32" t="s">
        <v>406</v>
      </c>
      <c r="F28" s="16" t="s">
        <v>437</v>
      </c>
      <c r="G28" s="16" t="s">
        <v>316</v>
      </c>
      <c r="H28" s="16" t="s">
        <v>317</v>
      </c>
      <c r="I28" s="27" t="s">
        <v>438</v>
      </c>
      <c r="J28" s="28" t="s">
        <v>439</v>
      </c>
      <c r="K28" s="29" t="s">
        <v>440</v>
      </c>
      <c r="L28" s="16" t="s">
        <v>344</v>
      </c>
      <c r="M28" s="30" t="s">
        <v>321</v>
      </c>
      <c r="N28" s="31" t="s">
        <v>322</v>
      </c>
      <c r="O28" s="16" t="s">
        <v>441</v>
      </c>
      <c r="P28" s="16" t="s">
        <v>324</v>
      </c>
    </row>
    <row r="29" customFormat="false" ht="36" hidden="false" customHeight="true" outlineLevel="0" collapsed="false">
      <c r="A29" s="16" t="n">
        <v>28</v>
      </c>
      <c r="B29" s="25" t="s">
        <v>140</v>
      </c>
      <c r="C29" s="16" t="s">
        <v>406</v>
      </c>
      <c r="D29" s="16" t="s">
        <v>442</v>
      </c>
      <c r="E29" s="32" t="s">
        <v>406</v>
      </c>
      <c r="F29" s="16" t="s">
        <v>224</v>
      </c>
      <c r="G29" s="16" t="s">
        <v>316</v>
      </c>
      <c r="H29" s="16" t="s">
        <v>317</v>
      </c>
      <c r="I29" s="27" t="s">
        <v>320</v>
      </c>
      <c r="J29" s="28" t="s">
        <v>319</v>
      </c>
      <c r="K29" s="29" t="s">
        <v>318</v>
      </c>
      <c r="L29" s="16" t="n">
        <v>5.4</v>
      </c>
      <c r="M29" s="30" t="s">
        <v>321</v>
      </c>
      <c r="N29" s="31" t="s">
        <v>322</v>
      </c>
      <c r="O29" s="16" t="s">
        <v>443</v>
      </c>
      <c r="P29" s="16" t="s">
        <v>324</v>
      </c>
    </row>
  </sheetData>
  <conditionalFormatting sqref="M2:M29">
    <cfRule type="cellIs" priority="2" operator="equal" aboveAverage="0" equalAverage="0" bottom="0" percent="0" rank="0" text="" dxfId="5">
      <formula>"Red"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7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444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445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446</v>
      </c>
      <c r="B4" s="3" t="s">
        <v>447</v>
      </c>
      <c r="C4" s="3" t="s">
        <v>448</v>
      </c>
      <c r="D4" s="3" t="s">
        <v>302</v>
      </c>
      <c r="E4" s="3" t="s">
        <v>449</v>
      </c>
      <c r="F4" s="3" t="s">
        <v>303</v>
      </c>
      <c r="G4" s="3" t="s">
        <v>450</v>
      </c>
      <c r="H4" s="3" t="s">
        <v>451</v>
      </c>
    </row>
    <row r="5" customFormat="false" ht="25.5" hidden="false" customHeight="true" outlineLevel="0" collapsed="false">
      <c r="A5" s="16" t="s">
        <v>8</v>
      </c>
      <c r="B5" s="33" t="s">
        <v>130</v>
      </c>
      <c r="C5" s="16" t="s">
        <v>452</v>
      </c>
      <c r="D5" s="31" t="s">
        <v>315</v>
      </c>
      <c r="E5" s="34" t="n">
        <v>24400</v>
      </c>
      <c r="F5" s="16" t="s">
        <v>453</v>
      </c>
      <c r="G5" s="31" t="s">
        <v>454</v>
      </c>
      <c r="H5" s="16" t="s">
        <v>455</v>
      </c>
    </row>
    <row r="6" customFormat="false" ht="25.5" hidden="false" customHeight="true" outlineLevel="0" collapsed="false">
      <c r="A6" s="16" t="s">
        <v>456</v>
      </c>
      <c r="B6" s="33" t="s">
        <v>130</v>
      </c>
      <c r="C6" s="16" t="s">
        <v>457</v>
      </c>
      <c r="D6" s="31" t="s">
        <v>315</v>
      </c>
      <c r="E6" s="34" t="n">
        <v>14700</v>
      </c>
      <c r="F6" s="16" t="s">
        <v>453</v>
      </c>
      <c r="G6" s="31" t="s">
        <v>454</v>
      </c>
      <c r="H6" s="16" t="s">
        <v>455</v>
      </c>
    </row>
    <row r="7" customFormat="false" ht="25.5" hidden="false" customHeight="true" outlineLevel="0" collapsed="false">
      <c r="A7" s="16" t="s">
        <v>12</v>
      </c>
      <c r="B7" s="33" t="s">
        <v>130</v>
      </c>
      <c r="C7" s="16" t="s">
        <v>458</v>
      </c>
      <c r="D7" s="31" t="s">
        <v>315</v>
      </c>
      <c r="E7" s="34" t="n">
        <v>60.1</v>
      </c>
      <c r="F7" s="16" t="s">
        <v>224</v>
      </c>
      <c r="G7" s="31" t="s">
        <v>454</v>
      </c>
      <c r="H7" s="16" t="s">
        <v>459</v>
      </c>
    </row>
    <row r="8" customFormat="false" ht="25.5" hidden="false" customHeight="true" outlineLevel="0" collapsed="false">
      <c r="A8" s="16" t="s">
        <v>460</v>
      </c>
      <c r="B8" s="33" t="s">
        <v>130</v>
      </c>
      <c r="C8" s="16" t="s">
        <v>461</v>
      </c>
      <c r="D8" s="31" t="s">
        <v>315</v>
      </c>
      <c r="E8" s="34" t="n">
        <v>7800</v>
      </c>
      <c r="F8" s="16" t="s">
        <v>453</v>
      </c>
      <c r="G8" s="31" t="s">
        <v>454</v>
      </c>
      <c r="H8" s="16" t="s">
        <v>462</v>
      </c>
    </row>
    <row r="9" customFormat="false" ht="25.5" hidden="false" customHeight="true" outlineLevel="0" collapsed="false">
      <c r="A9" s="16" t="s">
        <v>463</v>
      </c>
      <c r="B9" s="33" t="s">
        <v>130</v>
      </c>
      <c r="C9" s="16" t="s">
        <v>464</v>
      </c>
      <c r="D9" s="31" t="s">
        <v>315</v>
      </c>
      <c r="E9" s="34" t="n">
        <v>32</v>
      </c>
      <c r="F9" s="16" t="s">
        <v>224</v>
      </c>
      <c r="G9" s="31" t="s">
        <v>454</v>
      </c>
      <c r="H9" s="16" t="s">
        <v>465</v>
      </c>
    </row>
    <row r="10" customFormat="false" ht="25.5" hidden="false" customHeight="true" outlineLevel="0" collapsed="false">
      <c r="A10" s="16" t="s">
        <v>466</v>
      </c>
      <c r="B10" s="33" t="s">
        <v>130</v>
      </c>
      <c r="C10" s="16" t="s">
        <v>467</v>
      </c>
      <c r="D10" s="31" t="s">
        <v>315</v>
      </c>
      <c r="E10" s="34" t="n">
        <v>36.2</v>
      </c>
      <c r="F10" s="16" t="s">
        <v>224</v>
      </c>
      <c r="G10" s="31" t="s">
        <v>454</v>
      </c>
      <c r="H10" s="16" t="s">
        <v>468</v>
      </c>
    </row>
    <row r="11" customFormat="false" ht="25.5" hidden="false" customHeight="true" outlineLevel="0" collapsed="false">
      <c r="A11" s="16" t="s">
        <v>469</v>
      </c>
      <c r="B11" s="33" t="s">
        <v>130</v>
      </c>
      <c r="C11" s="16" t="s">
        <v>470</v>
      </c>
      <c r="D11" s="31" t="s">
        <v>315</v>
      </c>
      <c r="E11" s="34" t="n">
        <v>43.5</v>
      </c>
      <c r="F11" s="16" t="s">
        <v>224</v>
      </c>
      <c r="G11" s="31" t="s">
        <v>454</v>
      </c>
      <c r="H11" s="16" t="s">
        <v>471</v>
      </c>
    </row>
    <row r="12" customFormat="false" ht="25.5" hidden="false" customHeight="true" outlineLevel="0" collapsed="false">
      <c r="A12" s="16" t="s">
        <v>472</v>
      </c>
      <c r="B12" s="33" t="s">
        <v>130</v>
      </c>
      <c r="C12" s="16" t="s">
        <v>473</v>
      </c>
      <c r="D12" s="31" t="s">
        <v>315</v>
      </c>
      <c r="E12" s="34" t="n">
        <v>0.5923</v>
      </c>
      <c r="F12" s="16" t="s">
        <v>408</v>
      </c>
      <c r="G12" s="31" t="s">
        <v>454</v>
      </c>
      <c r="H12" s="16" t="s">
        <v>455</v>
      </c>
    </row>
    <row r="13" customFormat="false" ht="25.5" hidden="false" customHeight="true" outlineLevel="0" collapsed="false">
      <c r="A13" s="16" t="s">
        <v>474</v>
      </c>
      <c r="B13" s="33" t="s">
        <v>130</v>
      </c>
      <c r="C13" s="16" t="s">
        <v>475</v>
      </c>
      <c r="D13" s="31" t="s">
        <v>315</v>
      </c>
      <c r="E13" s="34" t="n">
        <v>0.48</v>
      </c>
      <c r="F13" s="16" t="s">
        <v>408</v>
      </c>
      <c r="G13" s="31" t="s">
        <v>454</v>
      </c>
      <c r="H13" s="16" t="s">
        <v>465</v>
      </c>
    </row>
    <row r="14" customFormat="false" ht="25.5" hidden="false" customHeight="true" outlineLevel="0" collapsed="false">
      <c r="A14" s="16" t="s">
        <v>476</v>
      </c>
      <c r="B14" s="33" t="s">
        <v>130</v>
      </c>
      <c r="C14" s="16" t="s">
        <v>477</v>
      </c>
      <c r="D14" s="31" t="s">
        <v>406</v>
      </c>
      <c r="E14" s="34" t="n">
        <v>5545</v>
      </c>
      <c r="F14" s="16" t="s">
        <v>453</v>
      </c>
      <c r="G14" s="31" t="s">
        <v>454</v>
      </c>
      <c r="H14" s="16" t="s">
        <v>478</v>
      </c>
    </row>
    <row r="15" customFormat="false" ht="25.5" hidden="false" customHeight="true" outlineLevel="0" collapsed="false">
      <c r="A15" s="16" t="s">
        <v>479</v>
      </c>
      <c r="B15" s="33" t="s">
        <v>130</v>
      </c>
      <c r="C15" s="16" t="s">
        <v>480</v>
      </c>
      <c r="D15" s="31" t="s">
        <v>406</v>
      </c>
      <c r="E15" s="34" t="n">
        <v>22.7</v>
      </c>
      <c r="F15" s="16" t="s">
        <v>224</v>
      </c>
      <c r="G15" s="31" t="s">
        <v>454</v>
      </c>
      <c r="H15" s="16" t="s">
        <v>481</v>
      </c>
    </row>
    <row r="16" customFormat="false" ht="25.5" hidden="false" customHeight="true" outlineLevel="0" collapsed="false">
      <c r="A16" s="16" t="s">
        <v>482</v>
      </c>
      <c r="B16" s="33" t="s">
        <v>130</v>
      </c>
      <c r="C16" s="16" t="s">
        <v>483</v>
      </c>
      <c r="D16" s="31" t="s">
        <v>315</v>
      </c>
      <c r="E16" s="34" t="n">
        <v>49500</v>
      </c>
      <c r="F16" s="16" t="s">
        <v>453</v>
      </c>
      <c r="G16" s="31" t="s">
        <v>454</v>
      </c>
      <c r="H16" s="16" t="s">
        <v>484</v>
      </c>
    </row>
    <row r="17" customFormat="false" ht="25.5" hidden="false" customHeight="true" outlineLevel="0" collapsed="false">
      <c r="A17" s="16" t="s">
        <v>485</v>
      </c>
      <c r="B17" s="33" t="s">
        <v>130</v>
      </c>
      <c r="C17" s="16" t="s">
        <v>486</v>
      </c>
      <c r="D17" s="31" t="s">
        <v>315</v>
      </c>
      <c r="E17" s="34" t="n">
        <v>12100</v>
      </c>
      <c r="F17" s="16" t="s">
        <v>453</v>
      </c>
      <c r="G17" s="31" t="s">
        <v>487</v>
      </c>
      <c r="H17" s="16" t="s">
        <v>488</v>
      </c>
    </row>
    <row r="18" customFormat="false" ht="25.5" hidden="false" customHeight="true" outlineLevel="0" collapsed="false">
      <c r="A18" s="16" t="s">
        <v>489</v>
      </c>
      <c r="B18" s="35" t="s">
        <v>119</v>
      </c>
      <c r="C18" s="16" t="s">
        <v>490</v>
      </c>
      <c r="D18" s="31" t="s">
        <v>315</v>
      </c>
      <c r="E18" s="34" t="n">
        <v>12835</v>
      </c>
      <c r="F18" s="16" t="s">
        <v>453</v>
      </c>
      <c r="G18" s="31" t="s">
        <v>454</v>
      </c>
      <c r="H18" s="16" t="s">
        <v>491</v>
      </c>
    </row>
    <row r="19" customFormat="false" ht="25.5" hidden="false" customHeight="true" outlineLevel="0" collapsed="false">
      <c r="A19" s="16" t="s">
        <v>15</v>
      </c>
      <c r="B19" s="35" t="s">
        <v>119</v>
      </c>
      <c r="C19" s="16" t="s">
        <v>492</v>
      </c>
      <c r="D19" s="31" t="s">
        <v>315</v>
      </c>
      <c r="E19" s="34" t="n">
        <v>52.6</v>
      </c>
      <c r="F19" s="16" t="s">
        <v>224</v>
      </c>
      <c r="G19" s="31" t="s">
        <v>454</v>
      </c>
      <c r="H19" s="16" t="s">
        <v>493</v>
      </c>
    </row>
    <row r="20" customFormat="false" ht="25.5" hidden="false" customHeight="true" outlineLevel="0" collapsed="false">
      <c r="A20" s="16" t="s">
        <v>494</v>
      </c>
      <c r="B20" s="35" t="s">
        <v>119</v>
      </c>
      <c r="C20" s="16" t="s">
        <v>495</v>
      </c>
      <c r="D20" s="31" t="s">
        <v>315</v>
      </c>
      <c r="E20" s="34" t="n">
        <v>6000</v>
      </c>
      <c r="F20" s="16" t="s">
        <v>453</v>
      </c>
      <c r="G20" s="31" t="s">
        <v>454</v>
      </c>
      <c r="H20" s="16" t="s">
        <v>496</v>
      </c>
    </row>
    <row r="21" customFormat="false" ht="25.5" hidden="false" customHeight="true" outlineLevel="0" collapsed="false">
      <c r="A21" s="16" t="s">
        <v>497</v>
      </c>
      <c r="B21" s="35" t="s">
        <v>119</v>
      </c>
      <c r="C21" s="16" t="s">
        <v>498</v>
      </c>
      <c r="D21" s="31" t="s">
        <v>315</v>
      </c>
      <c r="E21" s="34" t="n">
        <v>24.6</v>
      </c>
      <c r="F21" s="16" t="s">
        <v>224</v>
      </c>
      <c r="G21" s="31" t="s">
        <v>454</v>
      </c>
      <c r="H21" s="16" t="s">
        <v>465</v>
      </c>
    </row>
    <row r="22" customFormat="false" ht="25.5" hidden="false" customHeight="true" outlineLevel="0" collapsed="false">
      <c r="A22" s="16" t="s">
        <v>499</v>
      </c>
      <c r="B22" s="35" t="s">
        <v>119</v>
      </c>
      <c r="C22" s="16" t="s">
        <v>500</v>
      </c>
      <c r="D22" s="31" t="s">
        <v>315</v>
      </c>
      <c r="E22" s="34" t="n">
        <v>4020</v>
      </c>
      <c r="F22" s="16" t="s">
        <v>453</v>
      </c>
      <c r="G22" s="31" t="s">
        <v>454</v>
      </c>
      <c r="H22" s="16" t="s">
        <v>501</v>
      </c>
    </row>
    <row r="23" customFormat="false" ht="25.5" hidden="false" customHeight="true" outlineLevel="0" collapsed="false">
      <c r="A23" s="16" t="s">
        <v>502</v>
      </c>
      <c r="B23" s="35" t="s">
        <v>119</v>
      </c>
      <c r="C23" s="16" t="s">
        <v>503</v>
      </c>
      <c r="D23" s="31" t="s">
        <v>406</v>
      </c>
      <c r="E23" s="34" t="n">
        <v>410</v>
      </c>
      <c r="F23" s="16" t="s">
        <v>453</v>
      </c>
      <c r="G23" s="31" t="s">
        <v>454</v>
      </c>
      <c r="H23" s="16" t="s">
        <v>504</v>
      </c>
    </row>
    <row r="24" customFormat="false" ht="25.5" hidden="false" customHeight="true" outlineLevel="0" collapsed="false">
      <c r="A24" s="16" t="s">
        <v>505</v>
      </c>
      <c r="B24" s="36" t="s">
        <v>140</v>
      </c>
      <c r="C24" s="16" t="s">
        <v>506</v>
      </c>
      <c r="D24" s="31" t="s">
        <v>315</v>
      </c>
      <c r="E24" s="34" t="n">
        <v>31.2</v>
      </c>
      <c r="F24" s="16" t="s">
        <v>507</v>
      </c>
      <c r="G24" s="31" t="s">
        <v>454</v>
      </c>
      <c r="H24" s="16" t="s">
        <v>508</v>
      </c>
    </row>
    <row r="25" customFormat="false" ht="25.5" hidden="false" customHeight="true" outlineLevel="0" collapsed="false">
      <c r="A25" s="16" t="s">
        <v>509</v>
      </c>
      <c r="B25" s="36" t="s">
        <v>140</v>
      </c>
      <c r="C25" s="16" t="s">
        <v>510</v>
      </c>
      <c r="D25" s="31" t="s">
        <v>406</v>
      </c>
      <c r="E25" s="34" t="n">
        <v>19.9</v>
      </c>
      <c r="F25" s="16" t="s">
        <v>507</v>
      </c>
      <c r="G25" s="31" t="s">
        <v>454</v>
      </c>
      <c r="H25" s="16" t="s">
        <v>511</v>
      </c>
    </row>
    <row r="26" customFormat="false" ht="25.5" hidden="false" customHeight="true" outlineLevel="0" collapsed="false">
      <c r="A26" s="16" t="s">
        <v>512</v>
      </c>
      <c r="B26" s="36" t="s">
        <v>140</v>
      </c>
      <c r="C26" s="16" t="s">
        <v>513</v>
      </c>
      <c r="D26" s="31" t="s">
        <v>406</v>
      </c>
      <c r="E26" s="34" t="n">
        <v>63.8</v>
      </c>
      <c r="F26" s="16" t="s">
        <v>224</v>
      </c>
      <c r="G26" s="31" t="s">
        <v>454</v>
      </c>
      <c r="H26" s="16" t="s">
        <v>514</v>
      </c>
    </row>
    <row r="27" customFormat="false" ht="25.5" hidden="false" customHeight="true" outlineLevel="0" collapsed="false">
      <c r="A27" s="16" t="s">
        <v>515</v>
      </c>
      <c r="B27" s="36" t="s">
        <v>140</v>
      </c>
      <c r="C27" s="16" t="s">
        <v>516</v>
      </c>
      <c r="D27" s="31" t="s">
        <v>406</v>
      </c>
      <c r="E27" s="34" t="n">
        <v>19.3</v>
      </c>
      <c r="F27" s="16" t="s">
        <v>507</v>
      </c>
      <c r="G27" s="31" t="s">
        <v>454</v>
      </c>
      <c r="H27" s="16" t="s">
        <v>517</v>
      </c>
    </row>
    <row r="28" customFormat="false" ht="25.5" hidden="false" customHeight="true" outlineLevel="0" collapsed="false">
      <c r="A28" s="16" t="s">
        <v>518</v>
      </c>
      <c r="B28" s="36" t="s">
        <v>140</v>
      </c>
      <c r="C28" s="16" t="s">
        <v>519</v>
      </c>
      <c r="D28" s="31" t="s">
        <v>406</v>
      </c>
      <c r="E28" s="34" t="n">
        <v>14.5</v>
      </c>
      <c r="F28" s="16" t="s">
        <v>397</v>
      </c>
      <c r="G28" s="31" t="s">
        <v>454</v>
      </c>
      <c r="H28" s="16" t="s">
        <v>520</v>
      </c>
    </row>
    <row r="29" customFormat="false" ht="25.5" hidden="false" customHeight="true" outlineLevel="0" collapsed="false">
      <c r="A29" s="16" t="s">
        <v>521</v>
      </c>
      <c r="B29" s="36" t="s">
        <v>140</v>
      </c>
      <c r="C29" s="16" t="s">
        <v>522</v>
      </c>
      <c r="D29" s="31" t="s">
        <v>406</v>
      </c>
      <c r="E29" s="34" t="n">
        <v>99.5</v>
      </c>
      <c r="F29" s="16" t="s">
        <v>224</v>
      </c>
      <c r="G29" s="31" t="s">
        <v>454</v>
      </c>
      <c r="H29" s="16" t="s">
        <v>523</v>
      </c>
    </row>
    <row r="30" customFormat="false" ht="25.5" hidden="false" customHeight="true" outlineLevel="0" collapsed="false">
      <c r="A30" s="16" t="s">
        <v>524</v>
      </c>
      <c r="B30" s="36" t="s">
        <v>140</v>
      </c>
      <c r="C30" s="16" t="s">
        <v>525</v>
      </c>
      <c r="D30" s="31" t="s">
        <v>406</v>
      </c>
      <c r="E30" s="34" t="n">
        <v>8650</v>
      </c>
      <c r="F30" s="16" t="s">
        <v>421</v>
      </c>
      <c r="G30" s="31" t="s">
        <v>454</v>
      </c>
      <c r="H30" s="16" t="s">
        <v>526</v>
      </c>
    </row>
    <row r="31" customFormat="false" ht="25.5" hidden="false" customHeight="true" outlineLevel="0" collapsed="false">
      <c r="A31" s="16" t="s">
        <v>18</v>
      </c>
      <c r="B31" s="36" t="s">
        <v>140</v>
      </c>
      <c r="C31" s="16" t="s">
        <v>527</v>
      </c>
      <c r="D31" s="31" t="s">
        <v>315</v>
      </c>
      <c r="E31" s="34" t="n">
        <v>66.9</v>
      </c>
      <c r="F31" s="16" t="s">
        <v>408</v>
      </c>
      <c r="G31" s="31" t="s">
        <v>454</v>
      </c>
      <c r="H31" s="16" t="s">
        <v>528</v>
      </c>
    </row>
    <row r="32" customFormat="false" ht="25.5" hidden="false" customHeight="true" outlineLevel="0" collapsed="false">
      <c r="A32" s="16" t="s">
        <v>529</v>
      </c>
      <c r="B32" s="36" t="s">
        <v>140</v>
      </c>
      <c r="C32" s="16" t="s">
        <v>530</v>
      </c>
      <c r="D32" s="31" t="s">
        <v>315</v>
      </c>
      <c r="E32" s="34" t="n">
        <v>9.5</v>
      </c>
      <c r="F32" s="16" t="s">
        <v>224</v>
      </c>
      <c r="G32" s="31" t="s">
        <v>454</v>
      </c>
      <c r="H32" s="16" t="s">
        <v>531</v>
      </c>
    </row>
    <row r="33" customFormat="false" ht="25.5" hidden="false" customHeight="true" outlineLevel="0" collapsed="false">
      <c r="A33" s="16" t="s">
        <v>532</v>
      </c>
      <c r="B33" s="36" t="s">
        <v>135</v>
      </c>
      <c r="C33" s="16" t="s">
        <v>533</v>
      </c>
      <c r="D33" s="31" t="s">
        <v>406</v>
      </c>
      <c r="E33" s="34" t="n">
        <v>1.7</v>
      </c>
      <c r="F33" s="16" t="s">
        <v>224</v>
      </c>
      <c r="G33" s="31" t="s">
        <v>487</v>
      </c>
      <c r="H33" s="16" t="s">
        <v>534</v>
      </c>
    </row>
    <row r="34" customFormat="false" ht="25.5" hidden="false" customHeight="true" outlineLevel="0" collapsed="false">
      <c r="A34" s="16" t="s">
        <v>535</v>
      </c>
      <c r="B34" s="36" t="s">
        <v>135</v>
      </c>
      <c r="C34" s="16" t="s">
        <v>536</v>
      </c>
      <c r="D34" s="31" t="s">
        <v>406</v>
      </c>
      <c r="E34" s="34" t="n">
        <v>82</v>
      </c>
      <c r="F34" s="16" t="s">
        <v>224</v>
      </c>
      <c r="G34" s="31" t="s">
        <v>487</v>
      </c>
      <c r="H34" s="16" t="s">
        <v>537</v>
      </c>
    </row>
    <row r="35" customFormat="false" ht="25.5" hidden="false" customHeight="true" outlineLevel="0" collapsed="false">
      <c r="A35" s="16" t="s">
        <v>538</v>
      </c>
      <c r="B35" s="36" t="s">
        <v>140</v>
      </c>
      <c r="C35" s="16" t="s">
        <v>539</v>
      </c>
      <c r="D35" s="31" t="s">
        <v>406</v>
      </c>
      <c r="E35" s="34" t="n">
        <v>70</v>
      </c>
      <c r="F35" s="16" t="s">
        <v>408</v>
      </c>
      <c r="G35" s="31" t="s">
        <v>487</v>
      </c>
      <c r="H35" s="16" t="s">
        <v>540</v>
      </c>
    </row>
    <row r="36" customFormat="false" ht="25.5" hidden="false" customHeight="true" outlineLevel="0" collapsed="false">
      <c r="A36" s="16" t="s">
        <v>541</v>
      </c>
      <c r="B36" s="36" t="s">
        <v>140</v>
      </c>
      <c r="C36" s="16" t="s">
        <v>542</v>
      </c>
      <c r="D36" s="31" t="s">
        <v>406</v>
      </c>
      <c r="E36" s="34" t="n">
        <v>76</v>
      </c>
      <c r="F36" s="16" t="s">
        <v>421</v>
      </c>
      <c r="G36" s="31" t="s">
        <v>454</v>
      </c>
      <c r="H36" s="16" t="s">
        <v>543</v>
      </c>
    </row>
    <row r="37" customFormat="false" ht="25.5" hidden="false" customHeight="true" outlineLevel="0" collapsed="false">
      <c r="A37" s="16" t="s">
        <v>544</v>
      </c>
      <c r="B37" s="36" t="s">
        <v>140</v>
      </c>
      <c r="C37" s="16" t="s">
        <v>545</v>
      </c>
      <c r="D37" s="31" t="s">
        <v>406</v>
      </c>
      <c r="E37" s="34" t="n">
        <v>174</v>
      </c>
      <c r="F37" s="16" t="s">
        <v>427</v>
      </c>
      <c r="G37" s="31" t="s">
        <v>454</v>
      </c>
      <c r="H37" s="16" t="s">
        <v>546</v>
      </c>
    </row>
    <row r="38" customFormat="false" ht="25.5" hidden="false" customHeight="true" outlineLevel="0" collapsed="false">
      <c r="A38" s="16" t="s">
        <v>547</v>
      </c>
      <c r="B38" s="36" t="s">
        <v>140</v>
      </c>
      <c r="C38" s="16" t="s">
        <v>548</v>
      </c>
      <c r="D38" s="31" t="s">
        <v>406</v>
      </c>
      <c r="E38" s="34" t="n">
        <v>25</v>
      </c>
      <c r="F38" s="16" t="s">
        <v>433</v>
      </c>
      <c r="G38" s="31" t="s">
        <v>487</v>
      </c>
      <c r="H38" s="16" t="s">
        <v>543</v>
      </c>
    </row>
    <row r="39" customFormat="false" ht="25.5" hidden="false" customHeight="true" outlineLevel="0" collapsed="false">
      <c r="A39" s="16" t="s">
        <v>549</v>
      </c>
      <c r="B39" s="37" t="s">
        <v>145</v>
      </c>
      <c r="C39" s="16" t="s">
        <v>550</v>
      </c>
      <c r="D39" s="31" t="s">
        <v>406</v>
      </c>
      <c r="E39" s="34" t="n">
        <v>5.4</v>
      </c>
      <c r="F39" s="16" t="s">
        <v>224</v>
      </c>
      <c r="G39" s="31" t="s">
        <v>487</v>
      </c>
      <c r="H39" s="16" t="s">
        <v>551</v>
      </c>
    </row>
    <row r="40" customFormat="false" ht="25.5" hidden="false" customHeight="true" outlineLevel="0" collapsed="false">
      <c r="A40" s="16" t="s">
        <v>552</v>
      </c>
      <c r="B40" s="37" t="s">
        <v>145</v>
      </c>
      <c r="C40" s="16" t="s">
        <v>553</v>
      </c>
      <c r="D40" s="31" t="s">
        <v>406</v>
      </c>
      <c r="E40" s="34" t="n">
        <v>16</v>
      </c>
      <c r="F40" s="16" t="s">
        <v>224</v>
      </c>
      <c r="G40" s="31" t="s">
        <v>487</v>
      </c>
      <c r="H40" s="16" t="s">
        <v>554</v>
      </c>
    </row>
    <row r="41" customFormat="false" ht="25.5" hidden="false" customHeight="true" outlineLevel="0" collapsed="false">
      <c r="A41" s="16" t="s">
        <v>555</v>
      </c>
      <c r="B41" s="37" t="s">
        <v>145</v>
      </c>
      <c r="C41" s="16" t="s">
        <v>556</v>
      </c>
      <c r="D41" s="31" t="s">
        <v>315</v>
      </c>
      <c r="E41" s="34" t="n">
        <v>11.6</v>
      </c>
      <c r="F41" s="16" t="s">
        <v>557</v>
      </c>
      <c r="G41" s="31" t="s">
        <v>487</v>
      </c>
      <c r="H41" s="16" t="s">
        <v>558</v>
      </c>
    </row>
    <row r="42" customFormat="false" ht="25.5" hidden="false" customHeight="true" outlineLevel="0" collapsed="false">
      <c r="A42" s="16" t="s">
        <v>559</v>
      </c>
      <c r="B42" s="37" t="s">
        <v>145</v>
      </c>
      <c r="C42" s="16" t="s">
        <v>560</v>
      </c>
      <c r="D42" s="31" t="s">
        <v>315</v>
      </c>
      <c r="E42" s="34" t="n">
        <v>21.6</v>
      </c>
      <c r="F42" s="16" t="s">
        <v>224</v>
      </c>
      <c r="G42" s="31" t="s">
        <v>454</v>
      </c>
      <c r="H42" s="16" t="s">
        <v>561</v>
      </c>
    </row>
    <row r="43" customFormat="false" ht="25.5" hidden="false" customHeight="true" outlineLevel="0" collapsed="false">
      <c r="A43" s="16" t="s">
        <v>562</v>
      </c>
      <c r="B43" s="37" t="s">
        <v>145</v>
      </c>
      <c r="C43" s="16" t="s">
        <v>563</v>
      </c>
      <c r="D43" s="31" t="s">
        <v>406</v>
      </c>
      <c r="E43" s="34" t="n">
        <v>6.5</v>
      </c>
      <c r="F43" s="16" t="s">
        <v>224</v>
      </c>
      <c r="G43" s="31" t="s">
        <v>454</v>
      </c>
      <c r="H43" s="16" t="s">
        <v>564</v>
      </c>
    </row>
    <row r="44" customFormat="false" ht="25.5" hidden="false" customHeight="true" outlineLevel="0" collapsed="false">
      <c r="A44" s="16" t="s">
        <v>565</v>
      </c>
      <c r="B44" s="37" t="s">
        <v>145</v>
      </c>
      <c r="C44" s="16" t="s">
        <v>566</v>
      </c>
      <c r="D44" s="31" t="s">
        <v>406</v>
      </c>
      <c r="E44" s="34" t="n">
        <v>151</v>
      </c>
      <c r="F44" s="16" t="s">
        <v>224</v>
      </c>
      <c r="G44" s="31" t="s">
        <v>454</v>
      </c>
      <c r="H44" s="16" t="s">
        <v>567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1" t="s">
        <v>568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569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42" hidden="false" customHeight="true" outlineLevel="0" collapsed="false">
      <c r="A4" s="3" t="s">
        <v>570</v>
      </c>
      <c r="B4" s="3" t="s">
        <v>302</v>
      </c>
      <c r="C4" s="3" t="s">
        <v>571</v>
      </c>
      <c r="D4" s="3" t="s">
        <v>5</v>
      </c>
      <c r="E4" s="3" t="s">
        <v>446</v>
      </c>
      <c r="F4" s="3" t="s">
        <v>572</v>
      </c>
      <c r="G4" s="3" t="s">
        <v>573</v>
      </c>
      <c r="H4" s="3" t="s">
        <v>574</v>
      </c>
      <c r="I4" s="3" t="s">
        <v>575</v>
      </c>
      <c r="J4" s="3" t="s">
        <v>576</v>
      </c>
      <c r="K4" s="3" t="s">
        <v>577</v>
      </c>
    </row>
    <row r="5" customFormat="false" ht="21.75" hidden="false" customHeight="true" outlineLevel="0" collapsed="false">
      <c r="A5" s="31" t="s">
        <v>578</v>
      </c>
      <c r="B5" s="38" t="s">
        <v>579</v>
      </c>
      <c r="C5" s="16" t="s">
        <v>580</v>
      </c>
      <c r="D5" s="16" t="s">
        <v>581</v>
      </c>
      <c r="E5" s="31" t="s">
        <v>8</v>
      </c>
      <c r="F5" s="31" t="s">
        <v>582</v>
      </c>
      <c r="G5" s="39" t="n">
        <v>-8</v>
      </c>
      <c r="H5" s="31" t="n">
        <v>3</v>
      </c>
      <c r="I5" s="31" t="n">
        <v>4</v>
      </c>
      <c r="J5" s="31" t="n">
        <v>6</v>
      </c>
      <c r="K5" s="16" t="s">
        <v>583</v>
      </c>
    </row>
    <row r="6" customFormat="false" ht="21.75" hidden="false" customHeight="true" outlineLevel="0" collapsed="false">
      <c r="A6" s="31"/>
      <c r="B6" s="31"/>
      <c r="C6" s="31"/>
      <c r="D6" s="31"/>
      <c r="E6" s="31" t="s">
        <v>456</v>
      </c>
      <c r="F6" s="31" t="s">
        <v>582</v>
      </c>
      <c r="G6" s="39" t="n">
        <v>-12</v>
      </c>
      <c r="H6" s="31"/>
      <c r="I6" s="31"/>
      <c r="J6" s="31"/>
      <c r="K6" s="31"/>
    </row>
    <row r="7" customFormat="false" ht="21.75" hidden="false" customHeight="true" outlineLevel="0" collapsed="false">
      <c r="A7" s="31"/>
      <c r="B7" s="31"/>
      <c r="C7" s="31"/>
      <c r="D7" s="31"/>
      <c r="E7" s="31" t="s">
        <v>12</v>
      </c>
      <c r="F7" s="31" t="s">
        <v>584</v>
      </c>
      <c r="G7" s="39" t="n">
        <v>-2.5</v>
      </c>
      <c r="H7" s="31"/>
      <c r="I7" s="31"/>
      <c r="J7" s="31"/>
      <c r="K7" s="31"/>
    </row>
    <row r="8" customFormat="false" ht="21.75" hidden="false" customHeight="true" outlineLevel="0" collapsed="false">
      <c r="A8" s="31"/>
      <c r="B8" s="31"/>
      <c r="C8" s="31"/>
      <c r="D8" s="31"/>
      <c r="E8" s="31" t="s">
        <v>555</v>
      </c>
      <c r="F8" s="31" t="s">
        <v>582</v>
      </c>
      <c r="G8" s="39" t="n">
        <v>25</v>
      </c>
      <c r="H8" s="31"/>
      <c r="I8" s="31"/>
      <c r="J8" s="31"/>
      <c r="K8" s="31"/>
    </row>
    <row r="9" customFormat="false" ht="21.75" hidden="false" customHeight="true" outlineLevel="0" collapsed="false">
      <c r="A9" s="31"/>
      <c r="B9" s="31"/>
      <c r="C9" s="31"/>
      <c r="D9" s="31"/>
      <c r="E9" s="31" t="s">
        <v>559</v>
      </c>
      <c r="F9" s="31" t="s">
        <v>584</v>
      </c>
      <c r="G9" s="39" t="n">
        <v>-45</v>
      </c>
      <c r="H9" s="31"/>
      <c r="I9" s="31"/>
      <c r="J9" s="31"/>
      <c r="K9" s="31"/>
    </row>
    <row r="10" customFormat="false" ht="21.75" hidden="false" customHeight="true" outlineLevel="0" collapsed="false">
      <c r="A10" s="31"/>
      <c r="B10" s="31"/>
      <c r="C10" s="31"/>
      <c r="D10" s="31"/>
      <c r="E10" s="31" t="s">
        <v>549</v>
      </c>
      <c r="F10" s="31" t="s">
        <v>584</v>
      </c>
      <c r="G10" s="39" t="n">
        <v>10</v>
      </c>
      <c r="H10" s="31"/>
      <c r="I10" s="31"/>
      <c r="J10" s="31"/>
      <c r="K10" s="31"/>
    </row>
    <row r="11" customFormat="false" ht="21.75" hidden="false" customHeight="true" outlineLevel="0" collapsed="false">
      <c r="A11" s="31"/>
      <c r="B11" s="31"/>
      <c r="C11" s="31"/>
      <c r="D11" s="31"/>
      <c r="E11" s="31" t="s">
        <v>18</v>
      </c>
      <c r="F11" s="31" t="s">
        <v>582</v>
      </c>
      <c r="G11" s="39" t="n">
        <v>-15</v>
      </c>
      <c r="H11" s="31"/>
      <c r="I11" s="31"/>
      <c r="J11" s="31"/>
      <c r="K11" s="31"/>
    </row>
    <row r="12" customFormat="false" ht="21.75" hidden="false" customHeight="true" outlineLevel="0" collapsed="false">
      <c r="A12" s="31"/>
      <c r="B12" s="31"/>
      <c r="C12" s="31"/>
      <c r="D12" s="31"/>
      <c r="E12" s="31" t="s">
        <v>476</v>
      </c>
      <c r="F12" s="31" t="s">
        <v>582</v>
      </c>
      <c r="G12" s="39" t="n">
        <v>-15</v>
      </c>
      <c r="H12" s="31"/>
      <c r="I12" s="31"/>
      <c r="J12" s="31"/>
      <c r="K12" s="31"/>
    </row>
    <row r="13" customFormat="false" ht="21.75" hidden="false" customHeight="true" outlineLevel="0" collapsed="false">
      <c r="A13" s="31" t="s">
        <v>585</v>
      </c>
      <c r="B13" s="38" t="s">
        <v>579</v>
      </c>
      <c r="C13" s="16" t="s">
        <v>586</v>
      </c>
      <c r="D13" s="16" t="s">
        <v>587</v>
      </c>
      <c r="E13" s="31" t="s">
        <v>549</v>
      </c>
      <c r="F13" s="31" t="s">
        <v>588</v>
      </c>
      <c r="G13" s="39" t="n">
        <v>25</v>
      </c>
      <c r="H13" s="31" t="n">
        <v>3</v>
      </c>
      <c r="I13" s="31" t="n">
        <v>3</v>
      </c>
      <c r="J13" s="31" t="n">
        <v>5</v>
      </c>
      <c r="K13" s="16" t="s">
        <v>589</v>
      </c>
    </row>
    <row r="14" customFormat="false" ht="21.75" hidden="false" customHeight="true" outlineLevel="0" collapsed="false">
      <c r="A14" s="31"/>
      <c r="B14" s="31"/>
      <c r="C14" s="31"/>
      <c r="D14" s="31"/>
      <c r="E14" s="31" t="s">
        <v>552</v>
      </c>
      <c r="F14" s="31" t="s">
        <v>588</v>
      </c>
      <c r="G14" s="39" t="n">
        <v>28</v>
      </c>
      <c r="H14" s="31"/>
      <c r="I14" s="31"/>
      <c r="J14" s="31"/>
      <c r="K14" s="31"/>
    </row>
    <row r="15" customFormat="false" ht="21.75" hidden="false" customHeight="true" outlineLevel="0" collapsed="false">
      <c r="A15" s="31"/>
      <c r="B15" s="31"/>
      <c r="C15" s="31"/>
      <c r="D15" s="31"/>
      <c r="E15" s="31" t="s">
        <v>562</v>
      </c>
      <c r="F15" s="31" t="s">
        <v>584</v>
      </c>
      <c r="G15" s="39" t="n">
        <v>-3</v>
      </c>
      <c r="H15" s="31"/>
      <c r="I15" s="31"/>
      <c r="J15" s="31"/>
      <c r="K15" s="31"/>
    </row>
    <row r="16" customFormat="false" ht="21.75" hidden="false" customHeight="true" outlineLevel="0" collapsed="false">
      <c r="A16" s="31"/>
      <c r="B16" s="31"/>
      <c r="C16" s="31"/>
      <c r="D16" s="31"/>
      <c r="E16" s="31" t="s">
        <v>12</v>
      </c>
      <c r="F16" s="31" t="s">
        <v>584</v>
      </c>
      <c r="G16" s="39" t="n">
        <v>-3</v>
      </c>
      <c r="H16" s="31"/>
      <c r="I16" s="31"/>
      <c r="J16" s="31"/>
      <c r="K16" s="31"/>
    </row>
    <row r="17" customFormat="false" ht="21.75" hidden="false" customHeight="true" outlineLevel="0" collapsed="false">
      <c r="A17" s="31"/>
      <c r="B17" s="31"/>
      <c r="C17" s="31"/>
      <c r="D17" s="31"/>
      <c r="E17" s="31" t="s">
        <v>485</v>
      </c>
      <c r="F17" s="31" t="s">
        <v>582</v>
      </c>
      <c r="G17" s="39" t="n">
        <v>18</v>
      </c>
      <c r="H17" s="31"/>
      <c r="I17" s="31"/>
      <c r="J17" s="31"/>
      <c r="K17" s="31"/>
    </row>
    <row r="18" customFormat="false" ht="21.75" hidden="false" customHeight="true" outlineLevel="0" collapsed="false">
      <c r="A18" s="31"/>
      <c r="B18" s="31"/>
      <c r="C18" s="31"/>
      <c r="D18" s="31"/>
      <c r="E18" s="31" t="s">
        <v>18</v>
      </c>
      <c r="F18" s="31" t="s">
        <v>582</v>
      </c>
      <c r="G18" s="39" t="n">
        <v>-8</v>
      </c>
      <c r="H18" s="31"/>
      <c r="I18" s="31"/>
      <c r="J18" s="31"/>
      <c r="K18" s="31"/>
    </row>
    <row r="19" customFormat="false" ht="21.75" hidden="false" customHeight="true" outlineLevel="0" collapsed="false">
      <c r="A19" s="31"/>
      <c r="B19" s="31"/>
      <c r="C19" s="31"/>
      <c r="D19" s="31"/>
      <c r="E19" s="31" t="s">
        <v>505</v>
      </c>
      <c r="F19" s="31" t="s">
        <v>582</v>
      </c>
      <c r="G19" s="39" t="n">
        <v>-2</v>
      </c>
      <c r="H19" s="31"/>
      <c r="I19" s="31"/>
      <c r="J19" s="31"/>
      <c r="K19" s="31"/>
    </row>
    <row r="20" customFormat="false" ht="21.75" hidden="false" customHeight="true" outlineLevel="0" collapsed="false">
      <c r="A20" s="31" t="s">
        <v>590</v>
      </c>
      <c r="B20" s="38" t="s">
        <v>579</v>
      </c>
      <c r="C20" s="16" t="s">
        <v>591</v>
      </c>
      <c r="D20" s="16" t="s">
        <v>592</v>
      </c>
      <c r="E20" s="31" t="s">
        <v>494</v>
      </c>
      <c r="F20" s="31" t="s">
        <v>582</v>
      </c>
      <c r="G20" s="39" t="n">
        <v>-25</v>
      </c>
      <c r="H20" s="31" t="n">
        <v>3</v>
      </c>
      <c r="I20" s="31" t="n">
        <v>4</v>
      </c>
      <c r="J20" s="31" t="n">
        <v>6</v>
      </c>
      <c r="K20" s="16" t="s">
        <v>593</v>
      </c>
    </row>
    <row r="21" customFormat="false" ht="21.75" hidden="false" customHeight="true" outlineLevel="0" collapsed="false">
      <c r="A21" s="31"/>
      <c r="B21" s="31"/>
      <c r="C21" s="31"/>
      <c r="D21" s="31"/>
      <c r="E21" s="31" t="s">
        <v>497</v>
      </c>
      <c r="F21" s="31" t="s">
        <v>584</v>
      </c>
      <c r="G21" s="39" t="n">
        <v>-5</v>
      </c>
      <c r="H21" s="31"/>
      <c r="I21" s="31"/>
      <c r="J21" s="31"/>
      <c r="K21" s="31"/>
    </row>
    <row r="22" customFormat="false" ht="21.75" hidden="false" customHeight="true" outlineLevel="0" collapsed="false">
      <c r="A22" s="31"/>
      <c r="B22" s="31"/>
      <c r="C22" s="31"/>
      <c r="D22" s="31"/>
      <c r="E22" s="31" t="s">
        <v>515</v>
      </c>
      <c r="F22" s="31" t="s">
        <v>582</v>
      </c>
      <c r="G22" s="39" t="n">
        <v>-15</v>
      </c>
      <c r="H22" s="31"/>
      <c r="I22" s="31"/>
      <c r="J22" s="31"/>
      <c r="K22" s="31"/>
    </row>
    <row r="23" customFormat="false" ht="21.75" hidden="false" customHeight="true" outlineLevel="0" collapsed="false">
      <c r="A23" s="31"/>
      <c r="B23" s="31"/>
      <c r="C23" s="31"/>
      <c r="D23" s="31"/>
      <c r="E23" s="31" t="s">
        <v>541</v>
      </c>
      <c r="F23" s="31" t="s">
        <v>582</v>
      </c>
      <c r="G23" s="39" t="n">
        <v>-30</v>
      </c>
      <c r="H23" s="31"/>
      <c r="I23" s="31"/>
      <c r="J23" s="31"/>
      <c r="K23" s="31"/>
    </row>
    <row r="24" customFormat="false" ht="21.75" hidden="false" customHeight="true" outlineLevel="0" collapsed="false">
      <c r="A24" s="31"/>
      <c r="B24" s="31"/>
      <c r="C24" s="31"/>
      <c r="D24" s="31"/>
      <c r="E24" s="31" t="s">
        <v>456</v>
      </c>
      <c r="F24" s="31" t="s">
        <v>582</v>
      </c>
      <c r="G24" s="39" t="n">
        <v>-4</v>
      </c>
      <c r="H24" s="31"/>
      <c r="I24" s="31"/>
      <c r="J24" s="31"/>
      <c r="K24" s="31"/>
    </row>
    <row r="25" customFormat="false" ht="21.75" hidden="false" customHeight="true" outlineLevel="0" collapsed="false">
      <c r="A25" s="31" t="s">
        <v>594</v>
      </c>
      <c r="B25" s="38" t="s">
        <v>579</v>
      </c>
      <c r="C25" s="16" t="s">
        <v>595</v>
      </c>
      <c r="D25" s="16" t="s">
        <v>596</v>
      </c>
      <c r="E25" s="31" t="s">
        <v>474</v>
      </c>
      <c r="F25" s="31" t="s">
        <v>582</v>
      </c>
      <c r="G25" s="39" t="n">
        <v>-50</v>
      </c>
      <c r="H25" s="31" t="n">
        <v>2</v>
      </c>
      <c r="I25" s="31" t="n">
        <v>4</v>
      </c>
      <c r="J25" s="31" t="n">
        <v>8</v>
      </c>
      <c r="K25" s="16" t="s">
        <v>597</v>
      </c>
    </row>
    <row r="26" customFormat="false" ht="21.75" hidden="false" customHeight="true" outlineLevel="0" collapsed="false">
      <c r="A26" s="31"/>
      <c r="B26" s="31"/>
      <c r="C26" s="31"/>
      <c r="D26" s="31"/>
      <c r="E26" s="31" t="s">
        <v>547</v>
      </c>
      <c r="F26" s="31" t="s">
        <v>584</v>
      </c>
      <c r="G26" s="39" t="n">
        <v>15</v>
      </c>
      <c r="H26" s="31"/>
      <c r="I26" s="31"/>
      <c r="J26" s="31"/>
      <c r="K26" s="31"/>
    </row>
    <row r="27" customFormat="false" ht="21.75" hidden="false" customHeight="true" outlineLevel="0" collapsed="false">
      <c r="A27" s="31"/>
      <c r="B27" s="31"/>
      <c r="C27" s="31"/>
      <c r="D27" s="31"/>
      <c r="E27" s="31" t="s">
        <v>482</v>
      </c>
      <c r="F27" s="31" t="s">
        <v>582</v>
      </c>
      <c r="G27" s="39" t="n">
        <v>-3</v>
      </c>
      <c r="H27" s="31"/>
      <c r="I27" s="31"/>
      <c r="J27" s="31"/>
      <c r="K27" s="31"/>
    </row>
    <row r="28" customFormat="false" ht="21.75" hidden="false" customHeight="true" outlineLevel="0" collapsed="false">
      <c r="A28" s="31"/>
      <c r="B28" s="31"/>
      <c r="C28" s="31"/>
      <c r="D28" s="31"/>
      <c r="E28" s="31" t="s">
        <v>552</v>
      </c>
      <c r="F28" s="31" t="s">
        <v>584</v>
      </c>
      <c r="G28" s="39" t="n">
        <v>6</v>
      </c>
      <c r="H28" s="31"/>
      <c r="I28" s="31"/>
      <c r="J28" s="31"/>
      <c r="K28" s="31"/>
    </row>
    <row r="29" customFormat="false" ht="21.75" hidden="false" customHeight="true" outlineLevel="0" collapsed="false">
      <c r="A29" s="31"/>
      <c r="B29" s="31"/>
      <c r="C29" s="31"/>
      <c r="D29" s="31"/>
      <c r="E29" s="31" t="s">
        <v>476</v>
      </c>
      <c r="F29" s="31" t="s">
        <v>582</v>
      </c>
      <c r="G29" s="39" t="n">
        <v>-20</v>
      </c>
      <c r="H29" s="31"/>
      <c r="I29" s="31"/>
      <c r="J29" s="31"/>
      <c r="K29" s="31"/>
    </row>
    <row r="30" customFormat="false" ht="21.75" hidden="false" customHeight="true" outlineLevel="0" collapsed="false">
      <c r="A30" s="31" t="s">
        <v>598</v>
      </c>
      <c r="B30" s="38" t="s">
        <v>579</v>
      </c>
      <c r="C30" s="16" t="s">
        <v>599</v>
      </c>
      <c r="D30" s="16" t="s">
        <v>600</v>
      </c>
      <c r="E30" s="31" t="s">
        <v>485</v>
      </c>
      <c r="F30" s="31" t="s">
        <v>582</v>
      </c>
      <c r="G30" s="39" t="n">
        <v>12</v>
      </c>
      <c r="H30" s="31" t="n">
        <v>3</v>
      </c>
      <c r="I30" s="31" t="n">
        <v>3</v>
      </c>
      <c r="J30" s="31" t="n">
        <v>4</v>
      </c>
      <c r="K30" s="16" t="s">
        <v>601</v>
      </c>
    </row>
    <row r="31" customFormat="false" ht="21.75" hidden="false" customHeight="true" outlineLevel="0" collapsed="false">
      <c r="A31" s="31"/>
      <c r="B31" s="31"/>
      <c r="C31" s="31"/>
      <c r="D31" s="31"/>
      <c r="E31" s="31" t="s">
        <v>12</v>
      </c>
      <c r="F31" s="31" t="s">
        <v>584</v>
      </c>
      <c r="G31" s="39" t="n">
        <v>-2</v>
      </c>
      <c r="H31" s="31"/>
      <c r="I31" s="31"/>
      <c r="J31" s="31"/>
      <c r="K31" s="31"/>
    </row>
    <row r="32" customFormat="false" ht="21.75" hidden="false" customHeight="true" outlineLevel="0" collapsed="false">
      <c r="A32" s="31"/>
      <c r="B32" s="31"/>
      <c r="C32" s="31"/>
      <c r="D32" s="31"/>
      <c r="E32" s="31" t="s">
        <v>535</v>
      </c>
      <c r="F32" s="31" t="s">
        <v>584</v>
      </c>
      <c r="G32" s="39" t="n">
        <v>8</v>
      </c>
      <c r="H32" s="31"/>
      <c r="I32" s="31"/>
      <c r="J32" s="31"/>
      <c r="K32" s="31"/>
    </row>
    <row r="33" customFormat="false" ht="21.75" hidden="false" customHeight="true" outlineLevel="0" collapsed="false">
      <c r="A33" s="31"/>
      <c r="B33" s="31"/>
      <c r="C33" s="31"/>
      <c r="D33" s="31"/>
      <c r="E33" s="31" t="s">
        <v>521</v>
      </c>
      <c r="F33" s="31" t="s">
        <v>584</v>
      </c>
      <c r="G33" s="39" t="n">
        <v>-0.5</v>
      </c>
      <c r="H33" s="31"/>
      <c r="I33" s="31"/>
      <c r="J33" s="31"/>
      <c r="K33" s="31"/>
    </row>
    <row r="34" customFormat="false" ht="21.75" hidden="false" customHeight="true" outlineLevel="0" collapsed="false">
      <c r="A34" s="31" t="s">
        <v>602</v>
      </c>
      <c r="B34" s="40" t="s">
        <v>603</v>
      </c>
      <c r="C34" s="16" t="s">
        <v>604</v>
      </c>
      <c r="D34" s="16" t="s">
        <v>605</v>
      </c>
      <c r="E34" s="31" t="s">
        <v>532</v>
      </c>
      <c r="F34" s="31" t="s">
        <v>584</v>
      </c>
      <c r="G34" s="39" t="n">
        <v>8</v>
      </c>
      <c r="H34" s="31" t="n">
        <v>2</v>
      </c>
      <c r="I34" s="31" t="n">
        <v>5</v>
      </c>
      <c r="J34" s="31" t="n">
        <v>3</v>
      </c>
      <c r="K34" s="16" t="s">
        <v>606</v>
      </c>
    </row>
    <row r="35" customFormat="false" ht="21.75" hidden="false" customHeight="true" outlineLevel="0" collapsed="false">
      <c r="A35" s="31"/>
      <c r="B35" s="31"/>
      <c r="C35" s="31"/>
      <c r="D35" s="31"/>
      <c r="E35" s="31" t="s">
        <v>494</v>
      </c>
      <c r="F35" s="31" t="s">
        <v>582</v>
      </c>
      <c r="G35" s="39" t="n">
        <v>-12</v>
      </c>
      <c r="H35" s="31"/>
      <c r="I35" s="31"/>
      <c r="J35" s="31"/>
      <c r="K35" s="31"/>
    </row>
    <row r="36" customFormat="false" ht="21.75" hidden="false" customHeight="true" outlineLevel="0" collapsed="false">
      <c r="A36" s="31"/>
      <c r="B36" s="31"/>
      <c r="C36" s="31"/>
      <c r="D36" s="31"/>
      <c r="E36" s="31" t="s">
        <v>515</v>
      </c>
      <c r="F36" s="31" t="s">
        <v>582</v>
      </c>
      <c r="G36" s="39" t="n">
        <v>-8</v>
      </c>
      <c r="H36" s="31"/>
      <c r="I36" s="31"/>
      <c r="J36" s="31"/>
      <c r="K36" s="31"/>
    </row>
    <row r="37" customFormat="false" ht="21.75" hidden="false" customHeight="true" outlineLevel="0" collapsed="false">
      <c r="A37" s="31"/>
      <c r="B37" s="31"/>
      <c r="C37" s="31"/>
      <c r="D37" s="31"/>
      <c r="E37" s="31" t="s">
        <v>456</v>
      </c>
      <c r="F37" s="31" t="s">
        <v>582</v>
      </c>
      <c r="G37" s="39" t="n">
        <v>-3</v>
      </c>
      <c r="H37" s="31"/>
      <c r="I37" s="31"/>
      <c r="J37" s="31"/>
      <c r="K37" s="31"/>
    </row>
    <row r="38" customFormat="false" ht="21.75" hidden="false" customHeight="true" outlineLevel="0" collapsed="false">
      <c r="A38" s="31"/>
      <c r="B38" s="31"/>
      <c r="C38" s="31"/>
      <c r="D38" s="31"/>
      <c r="E38" s="31" t="s">
        <v>547</v>
      </c>
      <c r="F38" s="31" t="s">
        <v>584</v>
      </c>
      <c r="G38" s="39" t="n">
        <v>10</v>
      </c>
      <c r="H38" s="31"/>
      <c r="I38" s="31"/>
      <c r="J38" s="31"/>
      <c r="K38" s="31"/>
    </row>
    <row r="39" customFormat="false" ht="21.75" hidden="false" customHeight="true" outlineLevel="0" collapsed="false">
      <c r="A39" s="31" t="s">
        <v>607</v>
      </c>
      <c r="B39" s="40" t="s">
        <v>603</v>
      </c>
      <c r="C39" s="16" t="s">
        <v>608</v>
      </c>
      <c r="D39" s="16" t="s">
        <v>609</v>
      </c>
      <c r="E39" s="31" t="s">
        <v>521</v>
      </c>
      <c r="F39" s="31" t="s">
        <v>584</v>
      </c>
      <c r="G39" s="39" t="n">
        <v>-2.5</v>
      </c>
      <c r="H39" s="31" t="n">
        <v>2</v>
      </c>
      <c r="I39" s="31" t="n">
        <v>4</v>
      </c>
      <c r="J39" s="31" t="n">
        <v>6</v>
      </c>
      <c r="K39" s="16" t="s">
        <v>610</v>
      </c>
    </row>
    <row r="40" customFormat="false" ht="21.75" hidden="false" customHeight="true" outlineLevel="0" collapsed="false">
      <c r="A40" s="31"/>
      <c r="B40" s="31"/>
      <c r="C40" s="31"/>
      <c r="D40" s="31"/>
      <c r="E40" s="31" t="s">
        <v>518</v>
      </c>
      <c r="F40" s="31" t="s">
        <v>582</v>
      </c>
      <c r="G40" s="39" t="n">
        <v>-15</v>
      </c>
      <c r="H40" s="31"/>
      <c r="I40" s="31"/>
      <c r="J40" s="31"/>
      <c r="K40" s="31"/>
    </row>
    <row r="41" customFormat="false" ht="21.75" hidden="false" customHeight="true" outlineLevel="0" collapsed="false">
      <c r="A41" s="31"/>
      <c r="B41" s="31"/>
      <c r="C41" s="31"/>
      <c r="D41" s="31"/>
      <c r="E41" s="31" t="s">
        <v>535</v>
      </c>
      <c r="F41" s="31" t="s">
        <v>584</v>
      </c>
      <c r="G41" s="39" t="n">
        <v>10</v>
      </c>
      <c r="H41" s="31"/>
      <c r="I41" s="31"/>
      <c r="J41" s="31"/>
      <c r="K41" s="31"/>
    </row>
    <row r="42" customFormat="false" ht="21.75" hidden="false" customHeight="true" outlineLevel="0" collapsed="false">
      <c r="A42" s="31"/>
      <c r="B42" s="31"/>
      <c r="C42" s="31"/>
      <c r="D42" s="31"/>
      <c r="E42" s="31" t="s">
        <v>489</v>
      </c>
      <c r="F42" s="31" t="s">
        <v>582</v>
      </c>
      <c r="G42" s="39" t="n">
        <v>-8</v>
      </c>
      <c r="H42" s="31"/>
      <c r="I42" s="31"/>
      <c r="J42" s="31"/>
      <c r="K42" s="31"/>
    </row>
    <row r="43" customFormat="false" ht="21.75" hidden="false" customHeight="true" outlineLevel="0" collapsed="false">
      <c r="A43" s="31"/>
      <c r="B43" s="31"/>
      <c r="C43" s="31"/>
      <c r="D43" s="31"/>
      <c r="E43" s="31" t="s">
        <v>476</v>
      </c>
      <c r="F43" s="31" t="s">
        <v>584</v>
      </c>
      <c r="G43" s="39" t="n">
        <v>500</v>
      </c>
      <c r="H43" s="31"/>
      <c r="I43" s="31"/>
      <c r="J43" s="31"/>
      <c r="K43" s="31"/>
    </row>
    <row r="44" customFormat="false" ht="21.75" hidden="false" customHeight="true" outlineLevel="0" collapsed="false">
      <c r="A44" s="31" t="s">
        <v>611</v>
      </c>
      <c r="B44" s="40" t="s">
        <v>603</v>
      </c>
      <c r="C44" s="16" t="s">
        <v>612</v>
      </c>
      <c r="D44" s="16" t="s">
        <v>613</v>
      </c>
      <c r="E44" s="31" t="s">
        <v>524</v>
      </c>
      <c r="F44" s="31" t="s">
        <v>584</v>
      </c>
      <c r="G44" s="39" t="n">
        <v>-300</v>
      </c>
      <c r="H44" s="31" t="n">
        <v>2</v>
      </c>
      <c r="I44" s="31" t="n">
        <v>3</v>
      </c>
      <c r="J44" s="31" t="n">
        <v>2</v>
      </c>
      <c r="K44" s="16" t="s">
        <v>614</v>
      </c>
    </row>
    <row r="45" customFormat="false" ht="21.75" hidden="false" customHeight="true" outlineLevel="0" collapsed="false">
      <c r="A45" s="31"/>
      <c r="B45" s="31"/>
      <c r="C45" s="31"/>
      <c r="D45" s="31"/>
      <c r="E45" s="31" t="s">
        <v>535</v>
      </c>
      <c r="F45" s="31" t="s">
        <v>584</v>
      </c>
      <c r="G45" s="39" t="n">
        <v>6</v>
      </c>
      <c r="H45" s="31"/>
      <c r="I45" s="31"/>
      <c r="J45" s="31"/>
      <c r="K45" s="31"/>
    </row>
    <row r="46" customFormat="false" ht="21.75" hidden="false" customHeight="true" outlineLevel="0" collapsed="false">
      <c r="A46" s="31"/>
      <c r="B46" s="31"/>
      <c r="C46" s="31"/>
      <c r="D46" s="31"/>
      <c r="E46" s="31" t="s">
        <v>476</v>
      </c>
      <c r="F46" s="31" t="s">
        <v>582</v>
      </c>
      <c r="G46" s="39" t="n">
        <v>15</v>
      </c>
      <c r="H46" s="31"/>
      <c r="I46" s="31"/>
      <c r="J46" s="31"/>
      <c r="K46" s="31"/>
    </row>
    <row r="47" customFormat="false" ht="21.75" hidden="false" customHeight="true" outlineLevel="0" collapsed="false">
      <c r="A47" s="31"/>
      <c r="B47" s="31"/>
      <c r="C47" s="31"/>
      <c r="D47" s="31"/>
      <c r="E47" s="31" t="s">
        <v>456</v>
      </c>
      <c r="F47" s="31" t="s">
        <v>582</v>
      </c>
      <c r="G47" s="39" t="n">
        <v>-2</v>
      </c>
      <c r="H47" s="31"/>
      <c r="I47" s="31"/>
      <c r="J47" s="31"/>
      <c r="K47" s="31"/>
    </row>
    <row r="48" customFormat="false" ht="21.75" hidden="false" customHeight="true" outlineLevel="0" collapsed="false">
      <c r="A48" s="31"/>
      <c r="B48" s="31"/>
      <c r="C48" s="31"/>
      <c r="D48" s="31"/>
      <c r="E48" s="31" t="s">
        <v>18</v>
      </c>
      <c r="F48" s="31" t="s">
        <v>582</v>
      </c>
      <c r="G48" s="39" t="n">
        <v>-3</v>
      </c>
      <c r="H48" s="31"/>
      <c r="I48" s="31"/>
      <c r="J48" s="31"/>
      <c r="K48" s="31"/>
    </row>
    <row r="49" customFormat="false" ht="21.75" hidden="false" customHeight="true" outlineLevel="0" collapsed="false">
      <c r="A49" s="31" t="s">
        <v>615</v>
      </c>
      <c r="B49" s="40" t="s">
        <v>603</v>
      </c>
      <c r="C49" s="16" t="s">
        <v>616</v>
      </c>
      <c r="D49" s="16" t="s">
        <v>617</v>
      </c>
      <c r="E49" s="31" t="s">
        <v>532</v>
      </c>
      <c r="F49" s="31" t="s">
        <v>584</v>
      </c>
      <c r="G49" s="39" t="n">
        <v>4</v>
      </c>
      <c r="H49" s="31" t="n">
        <v>2</v>
      </c>
      <c r="I49" s="31" t="n">
        <v>4</v>
      </c>
      <c r="J49" s="31" t="n">
        <v>4</v>
      </c>
      <c r="K49" s="16" t="s">
        <v>618</v>
      </c>
    </row>
    <row r="50" customFormat="false" ht="21.75" hidden="false" customHeight="true" outlineLevel="0" collapsed="false">
      <c r="A50" s="31"/>
      <c r="B50" s="31"/>
      <c r="C50" s="31"/>
      <c r="D50" s="31"/>
      <c r="E50" s="31" t="s">
        <v>515</v>
      </c>
      <c r="F50" s="31" t="s">
        <v>582</v>
      </c>
      <c r="G50" s="39" t="n">
        <v>-5</v>
      </c>
      <c r="H50" s="31"/>
      <c r="I50" s="31"/>
      <c r="J50" s="31"/>
      <c r="K50" s="31"/>
    </row>
    <row r="51" customFormat="false" ht="21.75" hidden="false" customHeight="true" outlineLevel="0" collapsed="false">
      <c r="A51" s="31"/>
      <c r="B51" s="31"/>
      <c r="C51" s="31"/>
      <c r="D51" s="31"/>
      <c r="E51" s="31" t="s">
        <v>456</v>
      </c>
      <c r="F51" s="31" t="s">
        <v>582</v>
      </c>
      <c r="G51" s="39" t="n">
        <v>-3.5</v>
      </c>
      <c r="H51" s="31"/>
      <c r="I51" s="31"/>
      <c r="J51" s="31"/>
      <c r="K51" s="31"/>
    </row>
    <row r="52" customFormat="false" ht="21.75" hidden="false" customHeight="true" outlineLevel="0" collapsed="false">
      <c r="A52" s="31"/>
      <c r="B52" s="31"/>
      <c r="C52" s="31"/>
      <c r="D52" s="31"/>
      <c r="E52" s="31" t="s">
        <v>485</v>
      </c>
      <c r="F52" s="31" t="s">
        <v>584</v>
      </c>
      <c r="G52" s="39" t="n">
        <v>200</v>
      </c>
      <c r="H52" s="31"/>
      <c r="I52" s="31"/>
      <c r="J52" s="31"/>
      <c r="K52" s="31"/>
    </row>
    <row r="53" customFormat="false" ht="21.75" hidden="false" customHeight="true" outlineLevel="0" collapsed="false">
      <c r="A53" s="31" t="s">
        <v>619</v>
      </c>
      <c r="B53" s="40" t="s">
        <v>603</v>
      </c>
      <c r="C53" s="16" t="s">
        <v>620</v>
      </c>
      <c r="D53" s="16" t="s">
        <v>621</v>
      </c>
      <c r="E53" s="31" t="s">
        <v>18</v>
      </c>
      <c r="F53" s="31" t="s">
        <v>582</v>
      </c>
      <c r="G53" s="39" t="n">
        <v>-12</v>
      </c>
      <c r="H53" s="31" t="n">
        <v>3</v>
      </c>
      <c r="I53" s="31" t="n">
        <v>4</v>
      </c>
      <c r="J53" s="31" t="n">
        <v>6</v>
      </c>
      <c r="K53" s="16" t="s">
        <v>622</v>
      </c>
    </row>
    <row r="54" customFormat="false" ht="21.75" hidden="false" customHeight="true" outlineLevel="0" collapsed="false">
      <c r="A54" s="31"/>
      <c r="B54" s="31"/>
      <c r="C54" s="31"/>
      <c r="D54" s="31"/>
      <c r="E54" s="31" t="s">
        <v>8</v>
      </c>
      <c r="F54" s="31" t="s">
        <v>582</v>
      </c>
      <c r="G54" s="39" t="n">
        <v>-6</v>
      </c>
      <c r="H54" s="31"/>
      <c r="I54" s="31"/>
      <c r="J54" s="31"/>
      <c r="K54" s="31"/>
    </row>
    <row r="55" customFormat="false" ht="21.75" hidden="false" customHeight="true" outlineLevel="0" collapsed="false">
      <c r="A55" s="31"/>
      <c r="B55" s="31"/>
      <c r="C55" s="31"/>
      <c r="D55" s="31"/>
      <c r="E55" s="31" t="s">
        <v>538</v>
      </c>
      <c r="F55" s="31" t="s">
        <v>584</v>
      </c>
      <c r="G55" s="39" t="n">
        <v>15</v>
      </c>
      <c r="H55" s="31"/>
      <c r="I55" s="31"/>
      <c r="J55" s="31"/>
      <c r="K55" s="31"/>
    </row>
    <row r="56" customFormat="false" ht="21.75" hidden="false" customHeight="true" outlineLevel="0" collapsed="false">
      <c r="A56" s="31"/>
      <c r="B56" s="31"/>
      <c r="C56" s="31"/>
      <c r="D56" s="31"/>
      <c r="E56" s="31" t="s">
        <v>505</v>
      </c>
      <c r="F56" s="31" t="s">
        <v>582</v>
      </c>
      <c r="G56" s="39" t="n">
        <v>-2.5</v>
      </c>
      <c r="H56" s="31"/>
      <c r="I56" s="31"/>
      <c r="J56" s="31"/>
      <c r="K56" s="31"/>
    </row>
    <row r="57" customFormat="false" ht="21.75" hidden="false" customHeight="true" outlineLevel="0" collapsed="false">
      <c r="A57" s="31"/>
      <c r="B57" s="31"/>
      <c r="C57" s="31"/>
      <c r="D57" s="31"/>
      <c r="E57" s="31" t="s">
        <v>12</v>
      </c>
      <c r="F57" s="31" t="s">
        <v>584</v>
      </c>
      <c r="G57" s="39" t="n">
        <v>-2</v>
      </c>
      <c r="H57" s="31"/>
      <c r="I57" s="31"/>
      <c r="J57" s="31"/>
      <c r="K57" s="31"/>
    </row>
    <row r="58" customFormat="false" ht="21.75" hidden="false" customHeight="true" outlineLevel="0" collapsed="false">
      <c r="A58" s="31" t="s">
        <v>41</v>
      </c>
      <c r="B58" s="41" t="s">
        <v>623</v>
      </c>
      <c r="C58" s="16" t="s">
        <v>624</v>
      </c>
      <c r="D58" s="16" t="s">
        <v>625</v>
      </c>
      <c r="E58" s="31" t="s">
        <v>549</v>
      </c>
      <c r="F58" s="31" t="s">
        <v>588</v>
      </c>
      <c r="G58" s="39" t="n">
        <v>18</v>
      </c>
      <c r="H58" s="31" t="n">
        <v>3</v>
      </c>
      <c r="I58" s="31" t="n">
        <v>5</v>
      </c>
      <c r="J58" s="31" t="n">
        <v>8</v>
      </c>
      <c r="K58" s="16" t="s">
        <v>626</v>
      </c>
    </row>
    <row r="59" customFormat="false" ht="21.75" hidden="false" customHeight="true" outlineLevel="0" collapsed="false">
      <c r="A59" s="31"/>
      <c r="B59" s="31"/>
      <c r="C59" s="31"/>
      <c r="D59" s="31"/>
      <c r="E59" s="31" t="s">
        <v>552</v>
      </c>
      <c r="F59" s="31" t="s">
        <v>584</v>
      </c>
      <c r="G59" s="39" t="n">
        <v>4</v>
      </c>
      <c r="H59" s="31"/>
      <c r="I59" s="31"/>
      <c r="J59" s="31"/>
      <c r="K59" s="31"/>
    </row>
    <row r="60" customFormat="false" ht="21.75" hidden="false" customHeight="true" outlineLevel="0" collapsed="false">
      <c r="A60" s="31"/>
      <c r="B60" s="31"/>
      <c r="C60" s="31"/>
      <c r="D60" s="31"/>
      <c r="E60" s="31" t="s">
        <v>559</v>
      </c>
      <c r="F60" s="31" t="s">
        <v>584</v>
      </c>
      <c r="G60" s="39" t="n">
        <v>-35</v>
      </c>
      <c r="H60" s="31"/>
      <c r="I60" s="31"/>
      <c r="J60" s="31"/>
      <c r="K60" s="31"/>
    </row>
    <row r="61" customFormat="false" ht="21.75" hidden="false" customHeight="true" outlineLevel="0" collapsed="false">
      <c r="A61" s="31"/>
      <c r="B61" s="31"/>
      <c r="C61" s="31"/>
      <c r="D61" s="31"/>
      <c r="E61" s="31" t="s">
        <v>562</v>
      </c>
      <c r="F61" s="31" t="s">
        <v>588</v>
      </c>
      <c r="G61" s="39" t="n">
        <v>3</v>
      </c>
      <c r="H61" s="31"/>
      <c r="I61" s="31"/>
      <c r="J61" s="31"/>
      <c r="K61" s="31"/>
    </row>
    <row r="62" customFormat="false" ht="21.75" hidden="false" customHeight="true" outlineLevel="0" collapsed="false">
      <c r="A62" s="31"/>
      <c r="B62" s="31"/>
      <c r="C62" s="31"/>
      <c r="D62" s="31"/>
      <c r="E62" s="31" t="s">
        <v>8</v>
      </c>
      <c r="F62" s="31" t="s">
        <v>582</v>
      </c>
      <c r="G62" s="39" t="n">
        <v>-10</v>
      </c>
      <c r="H62" s="31"/>
      <c r="I62" s="31"/>
      <c r="J62" s="31"/>
      <c r="K62" s="31"/>
    </row>
    <row r="63" customFormat="false" ht="21.75" hidden="false" customHeight="true" outlineLevel="0" collapsed="false">
      <c r="A63" s="31"/>
      <c r="B63" s="31"/>
      <c r="C63" s="31"/>
      <c r="D63" s="31"/>
      <c r="E63" s="31" t="s">
        <v>12</v>
      </c>
      <c r="F63" s="31" t="s">
        <v>584</v>
      </c>
      <c r="G63" s="39" t="n">
        <v>-4</v>
      </c>
      <c r="H63" s="31"/>
      <c r="I63" s="31"/>
      <c r="J63" s="31"/>
      <c r="K63" s="31"/>
    </row>
    <row r="64" customFormat="false" ht="21.75" hidden="false" customHeight="true" outlineLevel="0" collapsed="false">
      <c r="A64" s="31"/>
      <c r="B64" s="31"/>
      <c r="C64" s="31"/>
      <c r="D64" s="31"/>
      <c r="E64" s="31" t="s">
        <v>18</v>
      </c>
      <c r="F64" s="31" t="s">
        <v>582</v>
      </c>
      <c r="G64" s="39" t="n">
        <v>-12</v>
      </c>
      <c r="H64" s="31"/>
      <c r="I64" s="31"/>
      <c r="J64" s="31"/>
      <c r="K64" s="31"/>
    </row>
    <row r="65" customFormat="false" ht="21.75" hidden="false" customHeight="true" outlineLevel="0" collapsed="false">
      <c r="A65" s="31"/>
      <c r="B65" s="31"/>
      <c r="C65" s="31"/>
      <c r="D65" s="31"/>
      <c r="E65" s="31" t="s">
        <v>474</v>
      </c>
      <c r="F65" s="31" t="s">
        <v>582</v>
      </c>
      <c r="G65" s="39" t="n">
        <v>-30</v>
      </c>
      <c r="H65" s="31"/>
      <c r="I65" s="31"/>
      <c r="J65" s="31"/>
      <c r="K65" s="31"/>
    </row>
    <row r="66" customFormat="false" ht="21.75" hidden="false" customHeight="true" outlineLevel="0" collapsed="false">
      <c r="A66" s="31"/>
      <c r="B66" s="31"/>
      <c r="C66" s="31"/>
      <c r="D66" s="31"/>
      <c r="E66" s="31" t="s">
        <v>505</v>
      </c>
      <c r="F66" s="31" t="s">
        <v>582</v>
      </c>
      <c r="G66" s="39" t="n">
        <v>-2.5</v>
      </c>
      <c r="H66" s="31"/>
      <c r="I66" s="31"/>
      <c r="J66" s="31"/>
      <c r="K66" s="31"/>
    </row>
    <row r="67" customFormat="false" ht="21.75" hidden="false" customHeight="true" outlineLevel="0" collapsed="false">
      <c r="A67" s="31" t="s">
        <v>627</v>
      </c>
      <c r="B67" s="41" t="s">
        <v>623</v>
      </c>
      <c r="C67" s="16" t="s">
        <v>628</v>
      </c>
      <c r="D67" s="16" t="s">
        <v>629</v>
      </c>
      <c r="E67" s="31" t="s">
        <v>494</v>
      </c>
      <c r="F67" s="31" t="s">
        <v>582</v>
      </c>
      <c r="G67" s="39" t="n">
        <v>-30</v>
      </c>
      <c r="H67" s="31" t="n">
        <v>3</v>
      </c>
      <c r="I67" s="31" t="n">
        <v>4</v>
      </c>
      <c r="J67" s="31" t="n">
        <v>7</v>
      </c>
      <c r="K67" s="16" t="s">
        <v>630</v>
      </c>
    </row>
    <row r="68" customFormat="false" ht="21.75" hidden="false" customHeight="true" outlineLevel="0" collapsed="false">
      <c r="A68" s="31"/>
      <c r="B68" s="31"/>
      <c r="C68" s="31"/>
      <c r="D68" s="31"/>
      <c r="E68" s="31" t="s">
        <v>497</v>
      </c>
      <c r="F68" s="31" t="s">
        <v>584</v>
      </c>
      <c r="G68" s="39" t="n">
        <v>-7</v>
      </c>
      <c r="H68" s="31"/>
      <c r="I68" s="31"/>
      <c r="J68" s="31"/>
      <c r="K68" s="31"/>
    </row>
    <row r="69" customFormat="false" ht="21.75" hidden="false" customHeight="true" outlineLevel="0" collapsed="false">
      <c r="A69" s="31"/>
      <c r="B69" s="31"/>
      <c r="C69" s="31"/>
      <c r="D69" s="31"/>
      <c r="E69" s="31" t="s">
        <v>515</v>
      </c>
      <c r="F69" s="31" t="s">
        <v>582</v>
      </c>
      <c r="G69" s="39" t="n">
        <v>-18</v>
      </c>
      <c r="H69" s="31"/>
      <c r="I69" s="31"/>
      <c r="J69" s="31"/>
      <c r="K69" s="31"/>
    </row>
    <row r="70" customFormat="false" ht="21.75" hidden="false" customHeight="true" outlineLevel="0" collapsed="false">
      <c r="A70" s="31"/>
      <c r="B70" s="31"/>
      <c r="C70" s="31"/>
      <c r="D70" s="31"/>
      <c r="E70" s="31" t="s">
        <v>541</v>
      </c>
      <c r="F70" s="31" t="s">
        <v>582</v>
      </c>
      <c r="G70" s="39" t="n">
        <v>-35</v>
      </c>
      <c r="H70" s="31"/>
      <c r="I70" s="31"/>
      <c r="J70" s="31"/>
      <c r="K70" s="31"/>
    </row>
    <row r="71" customFormat="false" ht="21.75" hidden="false" customHeight="true" outlineLevel="0" collapsed="false">
      <c r="A71" s="31"/>
      <c r="B71" s="31"/>
      <c r="C71" s="31"/>
      <c r="D71" s="31"/>
      <c r="E71" s="31" t="s">
        <v>456</v>
      </c>
      <c r="F71" s="31" t="s">
        <v>582</v>
      </c>
      <c r="G71" s="39" t="n">
        <v>-5.5</v>
      </c>
      <c r="H71" s="31"/>
      <c r="I71" s="31"/>
      <c r="J71" s="31"/>
      <c r="K71" s="31"/>
    </row>
    <row r="72" customFormat="false" ht="21.75" hidden="false" customHeight="true" outlineLevel="0" collapsed="false">
      <c r="A72" s="31"/>
      <c r="B72" s="31"/>
      <c r="C72" s="31"/>
      <c r="D72" s="31"/>
      <c r="E72" s="31" t="s">
        <v>502</v>
      </c>
      <c r="F72" s="31" t="s">
        <v>582</v>
      </c>
      <c r="G72" s="39" t="n">
        <v>-25</v>
      </c>
      <c r="H72" s="31"/>
      <c r="I72" s="31"/>
      <c r="J72" s="31"/>
      <c r="K72" s="31"/>
    </row>
    <row r="73" customFormat="false" ht="21.75" hidden="false" customHeight="true" outlineLevel="0" collapsed="false">
      <c r="A73" s="31" t="s">
        <v>631</v>
      </c>
      <c r="B73" s="41" t="s">
        <v>623</v>
      </c>
      <c r="C73" s="16" t="s">
        <v>632</v>
      </c>
      <c r="D73" s="16" t="s">
        <v>633</v>
      </c>
      <c r="E73" s="31" t="s">
        <v>521</v>
      </c>
      <c r="F73" s="31" t="s">
        <v>584</v>
      </c>
      <c r="G73" s="39" t="n">
        <v>-3</v>
      </c>
      <c r="H73" s="31" t="n">
        <v>2</v>
      </c>
      <c r="I73" s="31" t="n">
        <v>5</v>
      </c>
      <c r="J73" s="31" t="n">
        <v>8</v>
      </c>
      <c r="K73" s="16" t="s">
        <v>634</v>
      </c>
    </row>
    <row r="74" customFormat="false" ht="21.75" hidden="false" customHeight="true" outlineLevel="0" collapsed="false">
      <c r="A74" s="31"/>
      <c r="B74" s="31"/>
      <c r="C74" s="31"/>
      <c r="D74" s="31"/>
      <c r="E74" s="31" t="s">
        <v>524</v>
      </c>
      <c r="F74" s="31" t="s">
        <v>584</v>
      </c>
      <c r="G74" s="39" t="n">
        <v>-400</v>
      </c>
      <c r="H74" s="31"/>
      <c r="I74" s="31"/>
      <c r="J74" s="31"/>
      <c r="K74" s="31"/>
    </row>
    <row r="75" customFormat="false" ht="21.75" hidden="false" customHeight="true" outlineLevel="0" collapsed="false">
      <c r="A75" s="31"/>
      <c r="B75" s="31"/>
      <c r="C75" s="31"/>
      <c r="D75" s="31"/>
      <c r="E75" s="31" t="s">
        <v>532</v>
      </c>
      <c r="F75" s="31" t="s">
        <v>584</v>
      </c>
      <c r="G75" s="39" t="n">
        <v>6</v>
      </c>
      <c r="H75" s="31"/>
      <c r="I75" s="31"/>
      <c r="J75" s="31"/>
      <c r="K75" s="31"/>
    </row>
    <row r="76" customFormat="false" ht="21.75" hidden="false" customHeight="true" outlineLevel="0" collapsed="false">
      <c r="A76" s="31"/>
      <c r="B76" s="31"/>
      <c r="C76" s="31"/>
      <c r="D76" s="31"/>
      <c r="E76" s="31" t="s">
        <v>535</v>
      </c>
      <c r="F76" s="31" t="s">
        <v>584</v>
      </c>
      <c r="G76" s="39" t="n">
        <v>12</v>
      </c>
      <c r="H76" s="31"/>
      <c r="I76" s="31"/>
      <c r="J76" s="31"/>
      <c r="K76" s="31"/>
    </row>
    <row r="77" customFormat="false" ht="21.75" hidden="false" customHeight="true" outlineLevel="0" collapsed="false">
      <c r="A77" s="31"/>
      <c r="B77" s="31"/>
      <c r="C77" s="31"/>
      <c r="D77" s="31"/>
      <c r="E77" s="31" t="s">
        <v>518</v>
      </c>
      <c r="F77" s="31" t="s">
        <v>582</v>
      </c>
      <c r="G77" s="39" t="n">
        <v>-20</v>
      </c>
      <c r="H77" s="31"/>
      <c r="I77" s="31"/>
      <c r="J77" s="31"/>
      <c r="K77" s="31"/>
    </row>
    <row r="78" customFormat="false" ht="21.75" hidden="false" customHeight="true" outlineLevel="0" collapsed="false">
      <c r="A78" s="31"/>
      <c r="B78" s="31"/>
      <c r="C78" s="31"/>
      <c r="D78" s="31"/>
      <c r="E78" s="31" t="s">
        <v>476</v>
      </c>
      <c r="F78" s="31" t="s">
        <v>582</v>
      </c>
      <c r="G78" s="39" t="n">
        <v>25</v>
      </c>
      <c r="H78" s="31"/>
      <c r="I78" s="31"/>
      <c r="J78" s="31"/>
      <c r="K78" s="31"/>
    </row>
    <row r="79" customFormat="false" ht="21.75" hidden="false" customHeight="true" outlineLevel="0" collapsed="false">
      <c r="A79" s="31"/>
      <c r="B79" s="31"/>
      <c r="C79" s="31"/>
      <c r="D79" s="31"/>
      <c r="E79" s="31" t="s">
        <v>12</v>
      </c>
      <c r="F79" s="31" t="s">
        <v>584</v>
      </c>
      <c r="G79" s="39" t="n">
        <v>-3.5</v>
      </c>
      <c r="H79" s="31"/>
      <c r="I79" s="31"/>
      <c r="J79" s="31"/>
      <c r="K79" s="31"/>
    </row>
    <row r="80" customFormat="false" ht="21.75" hidden="false" customHeight="true" outlineLevel="0" collapsed="false">
      <c r="A80" s="31" t="s">
        <v>635</v>
      </c>
      <c r="B80" s="41" t="s">
        <v>623</v>
      </c>
      <c r="C80" s="16" t="s">
        <v>636</v>
      </c>
      <c r="D80" s="16" t="s">
        <v>637</v>
      </c>
      <c r="E80" s="31" t="s">
        <v>12</v>
      </c>
      <c r="F80" s="31" t="s">
        <v>584</v>
      </c>
      <c r="G80" s="39" t="n">
        <v>-5</v>
      </c>
      <c r="H80" s="31" t="n">
        <v>3</v>
      </c>
      <c r="I80" s="31" t="n">
        <v>5</v>
      </c>
      <c r="J80" s="31" t="n">
        <v>6</v>
      </c>
      <c r="K80" s="16" t="s">
        <v>638</v>
      </c>
    </row>
    <row r="81" customFormat="false" ht="21.75" hidden="false" customHeight="true" outlineLevel="0" collapsed="false">
      <c r="A81" s="31"/>
      <c r="B81" s="31"/>
      <c r="C81" s="31"/>
      <c r="D81" s="31"/>
      <c r="E81" s="31" t="s">
        <v>456</v>
      </c>
      <c r="F81" s="31" t="s">
        <v>582</v>
      </c>
      <c r="G81" s="39" t="n">
        <v>-15</v>
      </c>
      <c r="H81" s="31"/>
      <c r="I81" s="31"/>
      <c r="J81" s="31"/>
      <c r="K81" s="31"/>
    </row>
    <row r="82" customFormat="false" ht="21.75" hidden="false" customHeight="true" outlineLevel="0" collapsed="false">
      <c r="A82" s="31"/>
      <c r="B82" s="31"/>
      <c r="C82" s="31"/>
      <c r="D82" s="31"/>
      <c r="E82" s="31" t="s">
        <v>8</v>
      </c>
      <c r="F82" s="31" t="s">
        <v>582</v>
      </c>
      <c r="G82" s="39" t="n">
        <v>-5</v>
      </c>
      <c r="H82" s="31"/>
      <c r="I82" s="31"/>
      <c r="J82" s="31"/>
      <c r="K82" s="31"/>
    </row>
    <row r="83" customFormat="false" ht="21.75" hidden="false" customHeight="true" outlineLevel="0" collapsed="false">
      <c r="A83" s="31"/>
      <c r="B83" s="31"/>
      <c r="C83" s="31"/>
      <c r="D83" s="31"/>
      <c r="E83" s="31" t="s">
        <v>485</v>
      </c>
      <c r="F83" s="31" t="s">
        <v>582</v>
      </c>
      <c r="G83" s="39" t="n">
        <v>20</v>
      </c>
      <c r="H83" s="31"/>
      <c r="I83" s="31"/>
      <c r="J83" s="31"/>
      <c r="K83" s="31"/>
    </row>
    <row r="84" customFormat="false" ht="21.75" hidden="false" customHeight="true" outlineLevel="0" collapsed="false">
      <c r="A84" s="31"/>
      <c r="B84" s="31"/>
      <c r="C84" s="31"/>
      <c r="D84" s="31"/>
      <c r="E84" s="31" t="s">
        <v>549</v>
      </c>
      <c r="F84" s="31" t="s">
        <v>588</v>
      </c>
      <c r="G84" s="39" t="n">
        <v>20</v>
      </c>
      <c r="H84" s="31"/>
      <c r="I84" s="31"/>
      <c r="J84" s="31"/>
      <c r="K84" s="31"/>
    </row>
    <row r="85" customFormat="false" ht="21.75" hidden="false" customHeight="true" outlineLevel="0" collapsed="false">
      <c r="A85" s="31"/>
      <c r="B85" s="31"/>
      <c r="C85" s="31"/>
      <c r="D85" s="31"/>
      <c r="E85" s="31" t="s">
        <v>559</v>
      </c>
      <c r="F85" s="31" t="s">
        <v>584</v>
      </c>
      <c r="G85" s="39" t="n">
        <v>-25</v>
      </c>
      <c r="H85" s="31"/>
      <c r="I85" s="31"/>
      <c r="J85" s="31"/>
      <c r="K85" s="31"/>
    </row>
  </sheetData>
  <mergeCells count="114">
    <mergeCell ref="A1:K1"/>
    <mergeCell ref="A2:K2"/>
    <mergeCell ref="A5:A12"/>
    <mergeCell ref="B5:B12"/>
    <mergeCell ref="C5:C12"/>
    <mergeCell ref="D5:D12"/>
    <mergeCell ref="H5:H12"/>
    <mergeCell ref="I5:I12"/>
    <mergeCell ref="J5:J12"/>
    <mergeCell ref="K5:K12"/>
    <mergeCell ref="A13:A19"/>
    <mergeCell ref="B13:B19"/>
    <mergeCell ref="C13:C19"/>
    <mergeCell ref="D13:D19"/>
    <mergeCell ref="H13:H19"/>
    <mergeCell ref="I13:I19"/>
    <mergeCell ref="J13:J19"/>
    <mergeCell ref="K13:K19"/>
    <mergeCell ref="A20:A24"/>
    <mergeCell ref="B20:B24"/>
    <mergeCell ref="C20:C24"/>
    <mergeCell ref="D20:D24"/>
    <mergeCell ref="H20:H24"/>
    <mergeCell ref="I20:I24"/>
    <mergeCell ref="J20:J24"/>
    <mergeCell ref="K20:K24"/>
    <mergeCell ref="A25:A29"/>
    <mergeCell ref="B25:B29"/>
    <mergeCell ref="C25:C29"/>
    <mergeCell ref="D25:D29"/>
    <mergeCell ref="H25:H29"/>
    <mergeCell ref="I25:I29"/>
    <mergeCell ref="J25:J29"/>
    <mergeCell ref="K25:K29"/>
    <mergeCell ref="A30:A33"/>
    <mergeCell ref="B30:B33"/>
    <mergeCell ref="C30:C33"/>
    <mergeCell ref="D30:D33"/>
    <mergeCell ref="H30:H33"/>
    <mergeCell ref="I30:I33"/>
    <mergeCell ref="J30:J33"/>
    <mergeCell ref="K30:K33"/>
    <mergeCell ref="A34:A38"/>
    <mergeCell ref="B34:B38"/>
    <mergeCell ref="C34:C38"/>
    <mergeCell ref="D34:D38"/>
    <mergeCell ref="H34:H38"/>
    <mergeCell ref="I34:I38"/>
    <mergeCell ref="J34:J38"/>
    <mergeCell ref="K34:K38"/>
    <mergeCell ref="A39:A43"/>
    <mergeCell ref="B39:B43"/>
    <mergeCell ref="C39:C43"/>
    <mergeCell ref="D39:D43"/>
    <mergeCell ref="H39:H43"/>
    <mergeCell ref="I39:I43"/>
    <mergeCell ref="J39:J43"/>
    <mergeCell ref="K39:K43"/>
    <mergeCell ref="A44:A48"/>
    <mergeCell ref="B44:B48"/>
    <mergeCell ref="C44:C48"/>
    <mergeCell ref="D44:D48"/>
    <mergeCell ref="H44:H48"/>
    <mergeCell ref="I44:I48"/>
    <mergeCell ref="J44:J48"/>
    <mergeCell ref="K44:K48"/>
    <mergeCell ref="A49:A52"/>
    <mergeCell ref="B49:B52"/>
    <mergeCell ref="C49:C52"/>
    <mergeCell ref="D49:D52"/>
    <mergeCell ref="H49:H52"/>
    <mergeCell ref="I49:I52"/>
    <mergeCell ref="J49:J52"/>
    <mergeCell ref="K49:K52"/>
    <mergeCell ref="A53:A57"/>
    <mergeCell ref="B53:B57"/>
    <mergeCell ref="C53:C57"/>
    <mergeCell ref="D53:D57"/>
    <mergeCell ref="H53:H57"/>
    <mergeCell ref="I53:I57"/>
    <mergeCell ref="J53:J57"/>
    <mergeCell ref="K53:K57"/>
    <mergeCell ref="A58:A66"/>
    <mergeCell ref="B58:B66"/>
    <mergeCell ref="C58:C66"/>
    <mergeCell ref="D58:D66"/>
    <mergeCell ref="H58:H66"/>
    <mergeCell ref="I58:I66"/>
    <mergeCell ref="J58:J66"/>
    <mergeCell ref="K58:K66"/>
    <mergeCell ref="A67:A72"/>
    <mergeCell ref="B67:B72"/>
    <mergeCell ref="C67:C72"/>
    <mergeCell ref="D67:D72"/>
    <mergeCell ref="H67:H72"/>
    <mergeCell ref="I67:I72"/>
    <mergeCell ref="J67:J72"/>
    <mergeCell ref="K67:K72"/>
    <mergeCell ref="A73:A79"/>
    <mergeCell ref="B73:B79"/>
    <mergeCell ref="C73:C79"/>
    <mergeCell ref="D73:D79"/>
    <mergeCell ref="H73:H79"/>
    <mergeCell ref="I73:I79"/>
    <mergeCell ref="J73:J79"/>
    <mergeCell ref="K73:K79"/>
    <mergeCell ref="A80:A85"/>
    <mergeCell ref="B80:B85"/>
    <mergeCell ref="C80:C85"/>
    <mergeCell ref="D80:D85"/>
    <mergeCell ref="H80:H85"/>
    <mergeCell ref="I80:I85"/>
    <mergeCell ref="J80:J85"/>
    <mergeCell ref="K80:K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2" t="s">
        <v>639</v>
      </c>
      <c r="B1" s="42" t="s">
        <v>5</v>
      </c>
    </row>
    <row r="2" customFormat="false" ht="15" hidden="false" customHeight="false" outlineLevel="0" collapsed="false">
      <c r="A2" s="43" t="s">
        <v>640</v>
      </c>
      <c r="B2" s="43" t="s">
        <v>641</v>
      </c>
    </row>
    <row r="3" customFormat="false" ht="15" hidden="false" customHeight="false" outlineLevel="0" collapsed="false">
      <c r="A3" s="44" t="s">
        <v>642</v>
      </c>
      <c r="B3" s="44" t="s">
        <v>643</v>
      </c>
    </row>
    <row r="4" customFormat="false" ht="15" hidden="false" customHeight="false" outlineLevel="0" collapsed="false">
      <c r="A4" s="43" t="s">
        <v>644</v>
      </c>
      <c r="B4" s="43" t="s">
        <v>645</v>
      </c>
    </row>
    <row r="5" customFormat="false" ht="15" hidden="false" customHeight="false" outlineLevel="0" collapsed="false">
      <c r="A5" s="44" t="s">
        <v>646</v>
      </c>
      <c r="B5" s="44" t="s">
        <v>647</v>
      </c>
    </row>
    <row r="6" customFormat="false" ht="15" hidden="false" customHeight="false" outlineLevel="0" collapsed="false">
      <c r="A6" s="43" t="s">
        <v>648</v>
      </c>
      <c r="B6" s="43" t="s">
        <v>649</v>
      </c>
    </row>
    <row r="7" customFormat="false" ht="15" hidden="false" customHeight="false" outlineLevel="0" collapsed="false">
      <c r="A7" s="44" t="s">
        <v>650</v>
      </c>
      <c r="B7" s="44" t="s">
        <v>651</v>
      </c>
    </row>
    <row r="8" customFormat="false" ht="15" hidden="false" customHeight="false" outlineLevel="0" collapsed="false">
      <c r="A8" s="43" t="s">
        <v>652</v>
      </c>
      <c r="B8" s="43" t="s">
        <v>653</v>
      </c>
    </row>
    <row r="9" customFormat="false" ht="15" hidden="false" customHeight="false" outlineLevel="0" collapsed="false">
      <c r="A9" s="44" t="s">
        <v>654</v>
      </c>
      <c r="B9" s="44" t="s">
        <v>655</v>
      </c>
    </row>
    <row r="10" customFormat="false" ht="15" hidden="false" customHeight="false" outlineLevel="0" collapsed="false">
      <c r="A10" s="43" t="s">
        <v>656</v>
      </c>
      <c r="B10" s="43" t="s">
        <v>657</v>
      </c>
      <c r="C10" s="43" t="s">
        <v>658</v>
      </c>
      <c r="D10" s="43" t="s">
        <v>659</v>
      </c>
    </row>
    <row r="11" customFormat="false" ht="15" hidden="false" customHeight="false" outlineLevel="0" collapsed="false">
      <c r="A11" s="44" t="s">
        <v>660</v>
      </c>
      <c r="B11" s="44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10" min="9" style="0" width="18"/>
    <col collapsed="false" customWidth="true" hidden="false" outlineLevel="0" max="11" min="11" style="0" width="9"/>
    <col collapsed="false" customWidth="true" hidden="false" outlineLevel="0" max="12" min="12" style="0" width="6"/>
    <col collapsed="false" customWidth="true" hidden="false" outlineLevel="0" max="14" min="13" style="0" width="15"/>
    <col collapsed="false" customWidth="true" hidden="false" outlineLevel="0" max="15" min="15" style="0" width="9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20"/>
    <col collapsed="false" customWidth="true" hidden="false" outlineLevel="0" max="20" min="20" style="0" width="22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46.25" hidden="false" customHeight="false" outlineLevel="0" collapsed="false">
      <c r="A1" s="42" t="s">
        <v>662</v>
      </c>
      <c r="B1" s="42" t="s">
        <v>663</v>
      </c>
      <c r="C1" s="42" t="s">
        <v>664</v>
      </c>
      <c r="D1" s="42" t="s">
        <v>665</v>
      </c>
      <c r="E1" s="42" t="s">
        <v>666</v>
      </c>
      <c r="F1" s="42" t="s">
        <v>667</v>
      </c>
      <c r="G1" s="42" t="s">
        <v>668</v>
      </c>
      <c r="H1" s="42" t="s">
        <v>669</v>
      </c>
      <c r="I1" s="42" t="s">
        <v>670</v>
      </c>
      <c r="J1" s="42" t="s">
        <v>671</v>
      </c>
      <c r="K1" s="42" t="s">
        <v>672</v>
      </c>
      <c r="L1" s="42" t="s">
        <v>673</v>
      </c>
      <c r="M1" s="42" t="s">
        <v>674</v>
      </c>
      <c r="N1" s="42" t="s">
        <v>675</v>
      </c>
      <c r="O1" s="42" t="s">
        <v>676</v>
      </c>
      <c r="P1" s="42" t="s">
        <v>677</v>
      </c>
      <c r="Q1" s="42" t="s">
        <v>678</v>
      </c>
      <c r="R1" s="42" t="s">
        <v>679</v>
      </c>
      <c r="S1" s="42" t="s">
        <v>680</v>
      </c>
      <c r="T1" s="42" t="s">
        <v>681</v>
      </c>
      <c r="U1" s="42" t="s">
        <v>682</v>
      </c>
      <c r="V1" s="42" t="s">
        <v>683</v>
      </c>
    </row>
    <row r="2" customFormat="false" ht="15" hidden="false" customHeight="false" outlineLevel="0" collapsed="false">
      <c r="A2" s="43" t="s">
        <v>684</v>
      </c>
      <c r="B2" s="45" t="n">
        <v>2020</v>
      </c>
      <c r="C2" s="43" t="s">
        <v>685</v>
      </c>
      <c r="D2" s="45" t="n">
        <v>6430</v>
      </c>
      <c r="E2" s="46" t="s">
        <v>686</v>
      </c>
      <c r="F2" s="43"/>
      <c r="G2" s="45" t="n">
        <v>3520</v>
      </c>
      <c r="H2" s="46" t="s">
        <v>686</v>
      </c>
      <c r="I2" s="43"/>
      <c r="J2" s="45" t="n">
        <v>54.7</v>
      </c>
      <c r="K2" s="45" t="n">
        <v>1460</v>
      </c>
      <c r="L2" s="46" t="s">
        <v>686</v>
      </c>
      <c r="M2" s="43"/>
      <c r="N2" s="45" t="n">
        <v>22.7</v>
      </c>
      <c r="O2" s="45" t="n">
        <v>0.1108</v>
      </c>
      <c r="P2" s="43"/>
      <c r="Q2" s="45" t="n">
        <v>3035</v>
      </c>
      <c r="R2" s="45" t="n">
        <v>1410</v>
      </c>
      <c r="S2" s="45" t="n">
        <v>21.9</v>
      </c>
      <c r="T2" s="45" t="n">
        <v>0.12</v>
      </c>
      <c r="U2" s="45" t="n">
        <v>11200</v>
      </c>
      <c r="V2" s="45" t="n">
        <v>8850</v>
      </c>
    </row>
    <row r="3" customFormat="false" ht="15" hidden="false" customHeight="false" outlineLevel="0" collapsed="false">
      <c r="A3" s="44" t="s">
        <v>687</v>
      </c>
      <c r="B3" s="47" t="n">
        <v>2021</v>
      </c>
      <c r="C3" s="44" t="s">
        <v>685</v>
      </c>
      <c r="D3" s="47" t="n">
        <v>9000</v>
      </c>
      <c r="E3" s="46" t="s">
        <v>686</v>
      </c>
      <c r="F3" s="47" t="n">
        <v>40</v>
      </c>
      <c r="G3" s="47" t="n">
        <v>5000</v>
      </c>
      <c r="H3" s="46" t="s">
        <v>686</v>
      </c>
      <c r="I3" s="47" t="n">
        <v>42</v>
      </c>
      <c r="J3" s="47" t="n">
        <v>55.6</v>
      </c>
      <c r="K3" s="47" t="n">
        <v>2280</v>
      </c>
      <c r="L3" s="46" t="s">
        <v>686</v>
      </c>
      <c r="M3" s="47" t="n">
        <v>56.2</v>
      </c>
      <c r="N3" s="47" t="n">
        <v>25.3</v>
      </c>
      <c r="O3" s="47" t="n">
        <v>0.173</v>
      </c>
      <c r="P3" s="47" t="n">
        <v>56.1</v>
      </c>
      <c r="Q3" s="47" t="n">
        <v>4045</v>
      </c>
      <c r="R3" s="47" t="n">
        <v>1960</v>
      </c>
      <c r="S3" s="47" t="n">
        <v>21.8</v>
      </c>
      <c r="T3" s="47" t="n">
        <v>0.137</v>
      </c>
      <c r="U3" s="47" t="n">
        <v>14500</v>
      </c>
      <c r="V3" s="47" t="n">
        <v>11200</v>
      </c>
    </row>
    <row r="4" customFormat="false" ht="15" hidden="false" customHeight="false" outlineLevel="0" collapsed="false">
      <c r="A4" s="43" t="s">
        <v>688</v>
      </c>
      <c r="B4" s="45" t="n">
        <v>2022</v>
      </c>
      <c r="C4" s="43" t="s">
        <v>685</v>
      </c>
      <c r="D4" s="45" t="n">
        <v>13000</v>
      </c>
      <c r="E4" s="46" t="s">
        <v>686</v>
      </c>
      <c r="F4" s="45" t="n">
        <v>44.4</v>
      </c>
      <c r="G4" s="45" t="n">
        <v>7400</v>
      </c>
      <c r="H4" s="46" t="s">
        <v>686</v>
      </c>
      <c r="I4" s="45" t="n">
        <v>48</v>
      </c>
      <c r="J4" s="45" t="n">
        <v>56.9</v>
      </c>
      <c r="K4" s="45" t="n">
        <v>3565</v>
      </c>
      <c r="L4" s="46" t="s">
        <v>686</v>
      </c>
      <c r="M4" s="45" t="n">
        <v>56.4</v>
      </c>
      <c r="N4" s="45" t="n">
        <v>27.4</v>
      </c>
      <c r="O4" s="45" t="n">
        <v>0.2705</v>
      </c>
      <c r="P4" s="45" t="n">
        <v>56.4</v>
      </c>
      <c r="Q4" s="45" t="n">
        <v>5910</v>
      </c>
      <c r="R4" s="45" t="n">
        <v>2630</v>
      </c>
      <c r="S4" s="45" t="n">
        <v>20.2</v>
      </c>
      <c r="T4" s="45" t="n">
        <v>0.169</v>
      </c>
      <c r="U4" s="45" t="n">
        <v>19800</v>
      </c>
      <c r="V4" s="45" t="n">
        <v>15100</v>
      </c>
    </row>
    <row r="5" customFormat="false" ht="15" hidden="false" customHeight="false" outlineLevel="0" collapsed="false">
      <c r="A5" s="44" t="s">
        <v>689</v>
      </c>
      <c r="B5" s="47" t="n">
        <v>2023</v>
      </c>
      <c r="C5" s="44" t="s">
        <v>685</v>
      </c>
      <c r="D5" s="47" t="n">
        <v>17900</v>
      </c>
      <c r="E5" s="46" t="s">
        <v>686</v>
      </c>
      <c r="F5" s="47" t="n">
        <v>37.7</v>
      </c>
      <c r="G5" s="47" t="n">
        <v>10150</v>
      </c>
      <c r="H5" s="46" t="s">
        <v>686</v>
      </c>
      <c r="I5" s="47" t="n">
        <v>37.2</v>
      </c>
      <c r="J5" s="47" t="n">
        <v>56.7</v>
      </c>
      <c r="K5" s="47" t="n">
        <v>5000</v>
      </c>
      <c r="L5" s="46" t="s">
        <v>686</v>
      </c>
      <c r="M5" s="47" t="n">
        <v>40.3</v>
      </c>
      <c r="N5" s="47" t="n">
        <v>27.9</v>
      </c>
      <c r="O5" s="47" t="n">
        <v>0.3795</v>
      </c>
      <c r="P5" s="47" t="n">
        <v>40.3</v>
      </c>
      <c r="Q5" s="47" t="n">
        <v>8180</v>
      </c>
      <c r="R5" s="47" t="n">
        <v>3400</v>
      </c>
      <c r="S5" s="47" t="n">
        <v>19</v>
      </c>
      <c r="T5" s="47" t="n">
        <v>0.185</v>
      </c>
      <c r="U5" s="47" t="n">
        <v>28500</v>
      </c>
      <c r="V5" s="47" t="n">
        <v>21500</v>
      </c>
    </row>
    <row r="6" customFormat="false" ht="15" hidden="false" customHeight="false" outlineLevel="0" collapsed="false">
      <c r="A6" s="43" t="s">
        <v>690</v>
      </c>
      <c r="B6" s="45" t="n">
        <v>2024</v>
      </c>
      <c r="C6" s="43" t="s">
        <v>685</v>
      </c>
      <c r="D6" s="45" t="n">
        <v>23900</v>
      </c>
      <c r="E6" s="46" t="s">
        <v>686</v>
      </c>
      <c r="F6" s="45" t="n">
        <v>33.5</v>
      </c>
      <c r="G6" s="45" t="n">
        <v>13660</v>
      </c>
      <c r="H6" s="46" t="s">
        <v>686</v>
      </c>
      <c r="I6" s="45" t="n">
        <v>34.6</v>
      </c>
      <c r="J6" s="45" t="n">
        <v>57.1</v>
      </c>
      <c r="K6" s="45" t="n">
        <v>6845</v>
      </c>
      <c r="L6" s="46" t="s">
        <v>686</v>
      </c>
      <c r="M6" s="45" t="n">
        <v>36.9</v>
      </c>
      <c r="N6" s="45" t="n">
        <v>28.6</v>
      </c>
      <c r="O6" s="45" t="n">
        <v>0.5196</v>
      </c>
      <c r="P6" s="45" t="n">
        <v>36.9</v>
      </c>
      <c r="Q6" s="45" t="n">
        <v>11240</v>
      </c>
      <c r="R6" s="45" t="n">
        <v>4880</v>
      </c>
      <c r="S6" s="45" t="n">
        <v>20.4</v>
      </c>
      <c r="T6" s="45" t="n">
        <v>0.32</v>
      </c>
      <c r="U6" s="45" t="n">
        <v>41400</v>
      </c>
      <c r="V6" s="45" t="n">
        <v>30930</v>
      </c>
    </row>
    <row r="7" customFormat="false" ht="15" hidden="false" customHeight="false" outlineLevel="0" collapsed="false">
      <c r="A7" s="44" t="s">
        <v>691</v>
      </c>
      <c r="B7" s="47" t="n">
        <v>2025</v>
      </c>
      <c r="C7" s="44" t="s">
        <v>685</v>
      </c>
      <c r="D7" s="47" t="n">
        <v>24400</v>
      </c>
      <c r="E7" s="46" t="s">
        <v>686</v>
      </c>
      <c r="F7" s="47" t="n">
        <v>36.2</v>
      </c>
      <c r="G7" s="47" t="n">
        <v>14700</v>
      </c>
      <c r="H7" s="46" t="s">
        <v>686</v>
      </c>
      <c r="I7" s="47" t="n">
        <v>43.5</v>
      </c>
      <c r="J7" s="47" t="n">
        <v>60.1</v>
      </c>
      <c r="K7" s="47" t="n">
        <v>7800</v>
      </c>
      <c r="L7" s="46" t="s">
        <v>686</v>
      </c>
      <c r="M7" s="47" t="n">
        <v>55.9</v>
      </c>
      <c r="N7" s="47" t="n">
        <v>32</v>
      </c>
      <c r="O7" s="47" t="n">
        <v>0.5923</v>
      </c>
      <c r="P7" s="47" t="n">
        <v>55.9</v>
      </c>
      <c r="Q7" s="47" t="n">
        <v>12100</v>
      </c>
      <c r="R7" s="47" t="n">
        <v>5545</v>
      </c>
      <c r="S7" s="47" t="n">
        <v>22.7</v>
      </c>
      <c r="T7" s="47" t="n">
        <v>0.48</v>
      </c>
      <c r="U7" s="47" t="n">
        <v>49500</v>
      </c>
      <c r="V7" s="47" t="n">
        <v>36800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8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22"/>
    <col collapsed="false" customWidth="true" hidden="false" outlineLevel="0" max="16" min="16" style="0" width="6"/>
  </cols>
  <sheetData>
    <row r="1" customFormat="false" ht="46.25" hidden="false" customHeight="false" outlineLevel="0" collapsed="false">
      <c r="A1" s="42" t="s">
        <v>662</v>
      </c>
      <c r="B1" s="42" t="s">
        <v>663</v>
      </c>
      <c r="C1" s="42" t="s">
        <v>692</v>
      </c>
      <c r="D1" s="42" t="s">
        <v>664</v>
      </c>
      <c r="E1" s="42" t="s">
        <v>665</v>
      </c>
      <c r="F1" s="42" t="s">
        <v>666</v>
      </c>
      <c r="G1" s="42" t="s">
        <v>668</v>
      </c>
      <c r="H1" s="42" t="s">
        <v>669</v>
      </c>
      <c r="I1" s="42" t="s">
        <v>671</v>
      </c>
      <c r="J1" s="42" t="s">
        <v>693</v>
      </c>
      <c r="K1" s="42" t="s">
        <v>672</v>
      </c>
      <c r="L1" s="42" t="s">
        <v>673</v>
      </c>
      <c r="M1" s="42" t="s">
        <v>676</v>
      </c>
      <c r="N1" s="42" t="s">
        <v>694</v>
      </c>
      <c r="O1" s="42" t="s">
        <v>681</v>
      </c>
      <c r="P1" s="42" t="s">
        <v>695</v>
      </c>
    </row>
    <row r="2" customFormat="false" ht="15" hidden="false" customHeight="false" outlineLevel="0" collapsed="false">
      <c r="A2" s="43" t="s">
        <v>696</v>
      </c>
      <c r="B2" s="45" t="n">
        <v>2020</v>
      </c>
      <c r="C2" s="43" t="s">
        <v>697</v>
      </c>
      <c r="D2" s="43" t="s">
        <v>692</v>
      </c>
      <c r="E2" s="45" t="n">
        <v>2970</v>
      </c>
      <c r="F2" s="46" t="s">
        <v>686</v>
      </c>
      <c r="G2" s="45" t="n">
        <v>1615</v>
      </c>
      <c r="H2" s="46" t="s">
        <v>686</v>
      </c>
      <c r="I2" s="45" t="n">
        <v>52.9</v>
      </c>
      <c r="J2" s="46" t="s">
        <v>686</v>
      </c>
      <c r="K2" s="45" t="n">
        <v>645</v>
      </c>
      <c r="L2" s="46" t="s">
        <v>686</v>
      </c>
      <c r="M2" s="45" t="n">
        <v>0.0489</v>
      </c>
      <c r="N2" s="46" t="s">
        <v>686</v>
      </c>
      <c r="O2" s="45" t="n">
        <v>0.04</v>
      </c>
      <c r="P2" s="46" t="s">
        <v>686</v>
      </c>
    </row>
    <row r="3" customFormat="false" ht="15" hidden="false" customHeight="false" outlineLevel="0" collapsed="false">
      <c r="A3" s="44" t="s">
        <v>698</v>
      </c>
      <c r="B3" s="47" t="n">
        <v>2020</v>
      </c>
      <c r="C3" s="44" t="s">
        <v>699</v>
      </c>
      <c r="D3" s="44" t="s">
        <v>692</v>
      </c>
      <c r="E3" s="47" t="n">
        <v>3460</v>
      </c>
      <c r="F3" s="46" t="s">
        <v>686</v>
      </c>
      <c r="G3" s="47" t="n">
        <v>1905</v>
      </c>
      <c r="H3" s="46" t="s">
        <v>686</v>
      </c>
      <c r="I3" s="47" t="n">
        <v>53.4</v>
      </c>
      <c r="J3" s="46" t="s">
        <v>686</v>
      </c>
      <c r="K3" s="47" t="n">
        <v>815</v>
      </c>
      <c r="L3" s="46" t="s">
        <v>686</v>
      </c>
      <c r="M3" s="47" t="n">
        <v>0.0619</v>
      </c>
      <c r="N3" s="46" t="s">
        <v>686</v>
      </c>
      <c r="O3" s="47" t="n">
        <v>0.08</v>
      </c>
      <c r="P3" s="46" t="s">
        <v>686</v>
      </c>
    </row>
    <row r="4" customFormat="false" ht="15" hidden="false" customHeight="false" outlineLevel="0" collapsed="false">
      <c r="A4" s="43" t="s">
        <v>700</v>
      </c>
      <c r="B4" s="45" t="n">
        <v>2021</v>
      </c>
      <c r="C4" s="43" t="s">
        <v>697</v>
      </c>
      <c r="D4" s="43" t="s">
        <v>692</v>
      </c>
      <c r="E4" s="45" t="n">
        <v>4135</v>
      </c>
      <c r="F4" s="46" t="s">
        <v>686</v>
      </c>
      <c r="G4" s="45" t="n">
        <v>2280</v>
      </c>
      <c r="H4" s="46" t="s">
        <v>686</v>
      </c>
      <c r="I4" s="45" t="n">
        <v>53.8</v>
      </c>
      <c r="J4" s="46" t="s">
        <v>686</v>
      </c>
      <c r="K4" s="45" t="n">
        <v>1025</v>
      </c>
      <c r="L4" s="46" t="s">
        <v>686</v>
      </c>
      <c r="M4" s="45" t="n">
        <v>0.0778</v>
      </c>
      <c r="N4" s="46" t="s">
        <v>686</v>
      </c>
      <c r="O4" s="45" t="n">
        <v>0.045</v>
      </c>
      <c r="P4" s="46" t="s">
        <v>686</v>
      </c>
    </row>
    <row r="5" customFormat="false" ht="15" hidden="false" customHeight="false" outlineLevel="0" collapsed="false">
      <c r="A5" s="44" t="s">
        <v>701</v>
      </c>
      <c r="B5" s="47" t="n">
        <v>2021</v>
      </c>
      <c r="C5" s="44" t="s">
        <v>699</v>
      </c>
      <c r="D5" s="44" t="s">
        <v>692</v>
      </c>
      <c r="E5" s="47" t="n">
        <v>4865</v>
      </c>
      <c r="F5" s="46" t="s">
        <v>686</v>
      </c>
      <c r="G5" s="47" t="n">
        <v>2720</v>
      </c>
      <c r="H5" s="46" t="s">
        <v>686</v>
      </c>
      <c r="I5" s="47" t="n">
        <v>54.3</v>
      </c>
      <c r="J5" s="46" t="s">
        <v>686</v>
      </c>
      <c r="K5" s="47" t="n">
        <v>1255</v>
      </c>
      <c r="L5" s="46" t="s">
        <v>686</v>
      </c>
      <c r="M5" s="47" t="n">
        <v>0.0952</v>
      </c>
      <c r="N5" s="46" t="s">
        <v>686</v>
      </c>
      <c r="O5" s="47" t="n">
        <v>0.092</v>
      </c>
      <c r="P5" s="46" t="s">
        <v>686</v>
      </c>
    </row>
    <row r="6" customFormat="false" ht="15" hidden="false" customHeight="false" outlineLevel="0" collapsed="false">
      <c r="A6" s="43" t="s">
        <v>702</v>
      </c>
      <c r="B6" s="45" t="n">
        <v>2022</v>
      </c>
      <c r="C6" s="43" t="s">
        <v>697</v>
      </c>
      <c r="D6" s="43" t="s">
        <v>692</v>
      </c>
      <c r="E6" s="45" t="n">
        <v>5875</v>
      </c>
      <c r="F6" s="46" t="s">
        <v>686</v>
      </c>
      <c r="G6" s="45" t="n">
        <v>3345</v>
      </c>
      <c r="H6" s="46" t="s">
        <v>686</v>
      </c>
      <c r="I6" s="45" t="n">
        <v>55.6</v>
      </c>
      <c r="J6" s="46" t="s">
        <v>686</v>
      </c>
      <c r="K6" s="45" t="n">
        <v>1580</v>
      </c>
      <c r="L6" s="46" t="s">
        <v>686</v>
      </c>
      <c r="M6" s="45" t="n">
        <v>0.1199</v>
      </c>
      <c r="N6" s="46" t="s">
        <v>686</v>
      </c>
      <c r="O6" s="45" t="n">
        <v>0.055</v>
      </c>
      <c r="P6" s="46" t="s">
        <v>686</v>
      </c>
    </row>
    <row r="7" customFormat="false" ht="15" hidden="false" customHeight="false" outlineLevel="0" collapsed="false">
      <c r="A7" s="44" t="s">
        <v>703</v>
      </c>
      <c r="B7" s="47" t="n">
        <v>2022</v>
      </c>
      <c r="C7" s="44" t="s">
        <v>699</v>
      </c>
      <c r="D7" s="44" t="s">
        <v>692</v>
      </c>
      <c r="E7" s="47" t="n">
        <v>7125</v>
      </c>
      <c r="F7" s="46" t="s">
        <v>686</v>
      </c>
      <c r="G7" s="47" t="n">
        <v>4055</v>
      </c>
      <c r="H7" s="46" t="s">
        <v>686</v>
      </c>
      <c r="I7" s="47" t="n">
        <v>55.8</v>
      </c>
      <c r="J7" s="46" t="s">
        <v>686</v>
      </c>
      <c r="K7" s="47" t="n">
        <v>1985</v>
      </c>
      <c r="L7" s="46" t="s">
        <v>686</v>
      </c>
      <c r="M7" s="47" t="n">
        <v>0.1506</v>
      </c>
      <c r="N7" s="46" t="s">
        <v>686</v>
      </c>
      <c r="O7" s="47" t="n">
        <v>0.114</v>
      </c>
      <c r="P7" s="46" t="s">
        <v>686</v>
      </c>
    </row>
    <row r="8" customFormat="false" ht="15" hidden="false" customHeight="false" outlineLevel="0" collapsed="false">
      <c r="A8" s="43" t="s">
        <v>704</v>
      </c>
      <c r="B8" s="45" t="n">
        <v>2023</v>
      </c>
      <c r="C8" s="43" t="s">
        <v>697</v>
      </c>
      <c r="D8" s="43" t="s">
        <v>692</v>
      </c>
      <c r="E8" s="45" t="n">
        <v>7800</v>
      </c>
      <c r="F8" s="46" t="s">
        <v>686</v>
      </c>
      <c r="G8" s="45" t="n">
        <v>4395</v>
      </c>
      <c r="H8" s="46" t="s">
        <v>686</v>
      </c>
      <c r="I8" s="45" t="n">
        <v>55.6</v>
      </c>
      <c r="J8" s="46" t="s">
        <v>686</v>
      </c>
      <c r="K8" s="45" t="n">
        <v>2155</v>
      </c>
      <c r="L8" s="46" t="s">
        <v>686</v>
      </c>
      <c r="M8" s="45" t="n">
        <v>0.1635</v>
      </c>
      <c r="N8" s="46" t="s">
        <v>686</v>
      </c>
      <c r="O8" s="45" t="n">
        <v>0.06</v>
      </c>
      <c r="P8" s="46" t="s">
        <v>686</v>
      </c>
    </row>
    <row r="9" customFormat="false" ht="15" hidden="false" customHeight="false" outlineLevel="0" collapsed="false">
      <c r="A9" s="44" t="s">
        <v>705</v>
      </c>
      <c r="B9" s="47" t="n">
        <v>2023</v>
      </c>
      <c r="C9" s="44" t="s">
        <v>699</v>
      </c>
      <c r="D9" s="44" t="s">
        <v>692</v>
      </c>
      <c r="E9" s="47" t="n">
        <v>10100</v>
      </c>
      <c r="F9" s="46" t="s">
        <v>686</v>
      </c>
      <c r="G9" s="47" t="n">
        <v>5755</v>
      </c>
      <c r="H9" s="46" t="s">
        <v>686</v>
      </c>
      <c r="I9" s="47" t="n">
        <v>55.7</v>
      </c>
      <c r="J9" s="46" t="s">
        <v>686</v>
      </c>
      <c r="K9" s="47" t="n">
        <v>2845</v>
      </c>
      <c r="L9" s="46" t="s">
        <v>686</v>
      </c>
      <c r="M9" s="47" t="n">
        <v>0.216</v>
      </c>
      <c r="N9" s="46" t="s">
        <v>686</v>
      </c>
      <c r="O9" s="47" t="n">
        <v>0.125</v>
      </c>
      <c r="P9" s="46" t="s">
        <v>686</v>
      </c>
    </row>
    <row r="10" customFormat="false" ht="15" hidden="false" customHeight="false" outlineLevel="0" collapsed="false">
      <c r="A10" s="43" t="s">
        <v>706</v>
      </c>
      <c r="B10" s="45" t="n">
        <v>2024</v>
      </c>
      <c r="C10" s="43" t="s">
        <v>697</v>
      </c>
      <c r="D10" s="43" t="s">
        <v>692</v>
      </c>
      <c r="E10" s="45" t="n">
        <v>10385</v>
      </c>
      <c r="F10" s="46" t="s">
        <v>686</v>
      </c>
      <c r="G10" s="45" t="n">
        <v>5895</v>
      </c>
      <c r="H10" s="46" t="s">
        <v>686</v>
      </c>
      <c r="I10" s="45" t="n">
        <v>55.5</v>
      </c>
      <c r="J10" s="46" t="s">
        <v>686</v>
      </c>
      <c r="K10" s="45" t="n">
        <v>2960</v>
      </c>
      <c r="L10" s="46" t="s">
        <v>686</v>
      </c>
      <c r="M10" s="45" t="n">
        <v>0.2247</v>
      </c>
      <c r="N10" s="46" t="s">
        <v>686</v>
      </c>
      <c r="O10" s="45" t="n">
        <v>0.065</v>
      </c>
      <c r="P10" s="46" t="s">
        <v>686</v>
      </c>
    </row>
    <row r="11" customFormat="false" ht="15" hidden="false" customHeight="false" outlineLevel="0" collapsed="false">
      <c r="A11" s="44" t="s">
        <v>707</v>
      </c>
      <c r="B11" s="47" t="n">
        <v>2024</v>
      </c>
      <c r="C11" s="44" t="s">
        <v>699</v>
      </c>
      <c r="D11" s="44" t="s">
        <v>692</v>
      </c>
      <c r="E11" s="47" t="n">
        <v>13515</v>
      </c>
      <c r="F11" s="46" t="s">
        <v>686</v>
      </c>
      <c r="G11" s="47" t="n">
        <v>7705</v>
      </c>
      <c r="H11" s="46" t="s">
        <v>686</v>
      </c>
      <c r="I11" s="47" t="n">
        <v>56.5</v>
      </c>
      <c r="J11" s="46" t="s">
        <v>686</v>
      </c>
      <c r="K11" s="47" t="n">
        <v>3885</v>
      </c>
      <c r="L11" s="46" t="s">
        <v>686</v>
      </c>
      <c r="M11" s="47" t="n">
        <v>0.2949</v>
      </c>
      <c r="N11" s="46" t="s">
        <v>686</v>
      </c>
      <c r="O11" s="47" t="n">
        <v>0.255</v>
      </c>
      <c r="P11" s="46" t="s">
        <v>686</v>
      </c>
    </row>
    <row r="12" customFormat="false" ht="15" hidden="false" customHeight="false" outlineLevel="0" collapsed="false">
      <c r="A12" s="43" t="s">
        <v>708</v>
      </c>
      <c r="B12" s="45" t="n">
        <v>2025</v>
      </c>
      <c r="C12" s="43" t="s">
        <v>697</v>
      </c>
      <c r="D12" s="43" t="s">
        <v>692</v>
      </c>
      <c r="E12" s="45" t="n">
        <v>11300</v>
      </c>
      <c r="F12" s="46" t="s">
        <v>686</v>
      </c>
      <c r="G12" s="45" t="n">
        <v>6600</v>
      </c>
      <c r="H12" s="46" t="s">
        <v>686</v>
      </c>
      <c r="I12" s="45" t="n">
        <v>58.4</v>
      </c>
      <c r="J12" s="46" t="s">
        <v>686</v>
      </c>
      <c r="K12" s="45" t="n">
        <v>3600</v>
      </c>
      <c r="L12" s="46" t="s">
        <v>686</v>
      </c>
      <c r="M12" s="45" t="n">
        <v>0.2733</v>
      </c>
      <c r="N12" s="46" t="s">
        <v>686</v>
      </c>
      <c r="O12" s="45" t="n">
        <v>0.08</v>
      </c>
      <c r="P12" s="46" t="s">
        <v>686</v>
      </c>
    </row>
    <row r="13" customFormat="false" ht="15" hidden="false" customHeight="false" outlineLevel="0" collapsed="false">
      <c r="A13" s="44" t="s">
        <v>658</v>
      </c>
      <c r="B13" s="47" t="n">
        <v>2025</v>
      </c>
      <c r="C13" s="44" t="s">
        <v>699</v>
      </c>
      <c r="D13" s="44" t="s">
        <v>692</v>
      </c>
      <c r="E13" s="47" t="n">
        <v>13100</v>
      </c>
      <c r="F13" s="46" t="s">
        <v>686</v>
      </c>
      <c r="G13" s="47" t="n">
        <v>8100</v>
      </c>
      <c r="H13" s="46" t="s">
        <v>686</v>
      </c>
      <c r="I13" s="47" t="n">
        <v>61.2</v>
      </c>
      <c r="J13" s="46" t="s">
        <v>686</v>
      </c>
      <c r="K13" s="47" t="n">
        <v>4200</v>
      </c>
      <c r="L13" s="46" t="s">
        <v>686</v>
      </c>
      <c r="M13" s="47" t="n">
        <v>0.319</v>
      </c>
      <c r="N13" s="46" t="s">
        <v>686</v>
      </c>
      <c r="O13" s="47" t="n">
        <v>0.4</v>
      </c>
      <c r="P13" s="46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18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15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8" min="18" style="0" width="6"/>
    <col collapsed="false" customWidth="true" hidden="false" outlineLevel="0" max="19" min="19" style="0" width="9"/>
    <col collapsed="false" customWidth="true" hidden="false" outlineLevel="0" max="20" min="20" style="0" width="6"/>
    <col collapsed="false" customWidth="true" hidden="false" outlineLevel="0" max="21" min="21" style="0" width="9"/>
    <col collapsed="false" customWidth="true" hidden="false" outlineLevel="0" max="22" min="22" style="0" width="6"/>
  </cols>
  <sheetData>
    <row r="1" customFormat="false" ht="46.25" hidden="false" customHeight="false" outlineLevel="0" collapsed="false">
      <c r="A1" s="42" t="s">
        <v>662</v>
      </c>
      <c r="B1" s="42" t="s">
        <v>663</v>
      </c>
      <c r="C1" s="42" t="s">
        <v>709</v>
      </c>
      <c r="D1" s="42" t="s">
        <v>664</v>
      </c>
      <c r="E1" s="42" t="s">
        <v>665</v>
      </c>
      <c r="F1" s="42" t="s">
        <v>666</v>
      </c>
      <c r="G1" s="42" t="s">
        <v>710</v>
      </c>
      <c r="H1" s="42" t="s">
        <v>711</v>
      </c>
      <c r="I1" s="42" t="s">
        <v>668</v>
      </c>
      <c r="J1" s="42" t="s">
        <v>669</v>
      </c>
      <c r="K1" s="42" t="s">
        <v>671</v>
      </c>
      <c r="L1" s="42" t="s">
        <v>693</v>
      </c>
      <c r="M1" s="42" t="s">
        <v>672</v>
      </c>
      <c r="N1" s="42" t="s">
        <v>673</v>
      </c>
      <c r="O1" s="42" t="s">
        <v>675</v>
      </c>
      <c r="P1" s="42" t="s">
        <v>712</v>
      </c>
      <c r="Q1" s="42" t="s">
        <v>713</v>
      </c>
      <c r="R1" s="42" t="s">
        <v>714</v>
      </c>
      <c r="S1" s="42" t="s">
        <v>679</v>
      </c>
      <c r="T1" s="42" t="s">
        <v>715</v>
      </c>
      <c r="U1" s="42" t="s">
        <v>676</v>
      </c>
      <c r="V1" s="42" t="s">
        <v>694</v>
      </c>
    </row>
    <row r="2" customFormat="false" ht="15" hidden="false" customHeight="false" outlineLevel="0" collapsed="false">
      <c r="A2" s="43" t="s">
        <v>716</v>
      </c>
      <c r="B2" s="45" t="n">
        <v>2020</v>
      </c>
      <c r="C2" s="43" t="s">
        <v>717</v>
      </c>
      <c r="D2" s="43" t="s">
        <v>709</v>
      </c>
      <c r="E2" s="45" t="n">
        <v>1450</v>
      </c>
      <c r="F2" s="48" t="s">
        <v>718</v>
      </c>
      <c r="G2" s="45" t="n">
        <v>1490</v>
      </c>
      <c r="H2" s="48" t="s">
        <v>718</v>
      </c>
      <c r="I2" s="45" t="n">
        <v>790</v>
      </c>
      <c r="J2" s="48" t="s">
        <v>718</v>
      </c>
      <c r="K2" s="45" t="n">
        <v>53</v>
      </c>
      <c r="L2" s="48" t="s">
        <v>718</v>
      </c>
      <c r="M2" s="45" t="n">
        <v>310</v>
      </c>
      <c r="N2" s="48" t="s">
        <v>718</v>
      </c>
      <c r="O2" s="45" t="n">
        <v>20.8</v>
      </c>
      <c r="P2" s="48" t="s">
        <v>718</v>
      </c>
      <c r="Q2" s="45" t="n">
        <v>700</v>
      </c>
      <c r="R2" s="48" t="s">
        <v>718</v>
      </c>
      <c r="S2" s="45" t="n">
        <v>310</v>
      </c>
      <c r="T2" s="48" t="s">
        <v>718</v>
      </c>
      <c r="U2" s="45" t="n">
        <v>0.0235</v>
      </c>
      <c r="V2" s="48" t="s">
        <v>718</v>
      </c>
    </row>
    <row r="3" customFormat="false" ht="15" hidden="false" customHeight="false" outlineLevel="0" collapsed="false">
      <c r="A3" s="44" t="s">
        <v>719</v>
      </c>
      <c r="B3" s="47" t="n">
        <v>2020</v>
      </c>
      <c r="C3" s="44" t="s">
        <v>720</v>
      </c>
      <c r="D3" s="44" t="s">
        <v>709</v>
      </c>
      <c r="E3" s="47" t="n">
        <v>1520</v>
      </c>
      <c r="F3" s="48" t="s">
        <v>718</v>
      </c>
      <c r="G3" s="47" t="n">
        <v>1560</v>
      </c>
      <c r="H3" s="48" t="s">
        <v>718</v>
      </c>
      <c r="I3" s="47" t="n">
        <v>825</v>
      </c>
      <c r="J3" s="48" t="s">
        <v>718</v>
      </c>
      <c r="K3" s="47" t="n">
        <v>52.9</v>
      </c>
      <c r="L3" s="48" t="s">
        <v>718</v>
      </c>
      <c r="M3" s="47" t="n">
        <v>335</v>
      </c>
      <c r="N3" s="48" t="s">
        <v>718</v>
      </c>
      <c r="O3" s="47" t="n">
        <v>21.5</v>
      </c>
      <c r="P3" s="48" t="s">
        <v>718</v>
      </c>
      <c r="Q3" s="47" t="n">
        <v>735</v>
      </c>
      <c r="R3" s="48" t="s">
        <v>718</v>
      </c>
      <c r="S3" s="47" t="n">
        <v>330</v>
      </c>
      <c r="T3" s="48" t="s">
        <v>718</v>
      </c>
      <c r="U3" s="47" t="n">
        <v>0.0254</v>
      </c>
      <c r="V3" s="48" t="s">
        <v>718</v>
      </c>
    </row>
    <row r="4" customFormat="false" ht="15" hidden="false" customHeight="false" outlineLevel="0" collapsed="false">
      <c r="A4" s="43" t="s">
        <v>721</v>
      </c>
      <c r="B4" s="45" t="n">
        <v>2020</v>
      </c>
      <c r="C4" s="43" t="s">
        <v>722</v>
      </c>
      <c r="D4" s="43" t="s">
        <v>709</v>
      </c>
      <c r="E4" s="45" t="n">
        <v>1635</v>
      </c>
      <c r="F4" s="48" t="s">
        <v>718</v>
      </c>
      <c r="G4" s="45" t="n">
        <v>1680</v>
      </c>
      <c r="H4" s="48" t="s">
        <v>718</v>
      </c>
      <c r="I4" s="45" t="n">
        <v>895</v>
      </c>
      <c r="J4" s="48" t="s">
        <v>718</v>
      </c>
      <c r="K4" s="45" t="n">
        <v>53.3</v>
      </c>
      <c r="L4" s="48" t="s">
        <v>718</v>
      </c>
      <c r="M4" s="45" t="n">
        <v>375</v>
      </c>
      <c r="N4" s="48" t="s">
        <v>718</v>
      </c>
      <c r="O4" s="45" t="n">
        <v>22.3</v>
      </c>
      <c r="P4" s="48" t="s">
        <v>718</v>
      </c>
      <c r="Q4" s="45" t="n">
        <v>785</v>
      </c>
      <c r="R4" s="48" t="s">
        <v>718</v>
      </c>
      <c r="S4" s="45" t="n">
        <v>360</v>
      </c>
      <c r="T4" s="48" t="s">
        <v>718</v>
      </c>
      <c r="U4" s="45" t="n">
        <v>0.0285</v>
      </c>
      <c r="V4" s="48" t="s">
        <v>718</v>
      </c>
    </row>
    <row r="5" customFormat="false" ht="15" hidden="false" customHeight="false" outlineLevel="0" collapsed="false">
      <c r="A5" s="44" t="s">
        <v>723</v>
      </c>
      <c r="B5" s="47" t="n">
        <v>2020</v>
      </c>
      <c r="C5" s="44" t="s">
        <v>724</v>
      </c>
      <c r="D5" s="44" t="s">
        <v>709</v>
      </c>
      <c r="E5" s="47" t="n">
        <v>1825</v>
      </c>
      <c r="F5" s="48" t="s">
        <v>718</v>
      </c>
      <c r="G5" s="47" t="n">
        <v>1875</v>
      </c>
      <c r="H5" s="48" t="s">
        <v>718</v>
      </c>
      <c r="I5" s="47" t="n">
        <v>1010</v>
      </c>
      <c r="J5" s="48" t="s">
        <v>718</v>
      </c>
      <c r="K5" s="47" t="n">
        <v>53.9</v>
      </c>
      <c r="L5" s="48" t="s">
        <v>718</v>
      </c>
      <c r="M5" s="47" t="n">
        <v>440</v>
      </c>
      <c r="N5" s="48" t="s">
        <v>718</v>
      </c>
      <c r="O5" s="47" t="n">
        <v>23.5</v>
      </c>
      <c r="P5" s="48" t="s">
        <v>718</v>
      </c>
      <c r="Q5" s="47" t="n">
        <v>865</v>
      </c>
      <c r="R5" s="48" t="s">
        <v>718</v>
      </c>
      <c r="S5" s="47" t="n">
        <v>410</v>
      </c>
      <c r="T5" s="48" t="s">
        <v>718</v>
      </c>
      <c r="U5" s="47" t="n">
        <v>0.0334</v>
      </c>
      <c r="V5" s="48" t="s">
        <v>718</v>
      </c>
    </row>
    <row r="6" customFormat="false" ht="15" hidden="false" customHeight="false" outlineLevel="0" collapsed="false">
      <c r="A6" s="43" t="s">
        <v>725</v>
      </c>
      <c r="B6" s="45" t="n">
        <v>2021</v>
      </c>
      <c r="C6" s="43" t="s">
        <v>717</v>
      </c>
      <c r="D6" s="43" t="s">
        <v>709</v>
      </c>
      <c r="E6" s="45" t="n">
        <v>1985</v>
      </c>
      <c r="F6" s="48" t="s">
        <v>718</v>
      </c>
      <c r="G6" s="45" t="n">
        <v>2035</v>
      </c>
      <c r="H6" s="48" t="s">
        <v>718</v>
      </c>
      <c r="I6" s="45" t="n">
        <v>1095</v>
      </c>
      <c r="J6" s="48" t="s">
        <v>718</v>
      </c>
      <c r="K6" s="45" t="n">
        <v>53.8</v>
      </c>
      <c r="L6" s="48" t="s">
        <v>718</v>
      </c>
      <c r="M6" s="45" t="n">
        <v>490</v>
      </c>
      <c r="N6" s="48" t="s">
        <v>718</v>
      </c>
      <c r="O6" s="45" t="n">
        <v>24.1</v>
      </c>
      <c r="P6" s="48" t="s">
        <v>718</v>
      </c>
      <c r="Q6" s="45" t="n">
        <v>940</v>
      </c>
      <c r="R6" s="48" t="s">
        <v>718</v>
      </c>
      <c r="S6" s="45" t="n">
        <v>425</v>
      </c>
      <c r="T6" s="48" t="s">
        <v>718</v>
      </c>
      <c r="U6" s="45" t="n">
        <v>0.0372</v>
      </c>
      <c r="V6" s="48" t="s">
        <v>718</v>
      </c>
    </row>
    <row r="7" customFormat="false" ht="15" hidden="false" customHeight="false" outlineLevel="0" collapsed="false">
      <c r="A7" s="44" t="s">
        <v>726</v>
      </c>
      <c r="B7" s="47" t="n">
        <v>2021</v>
      </c>
      <c r="C7" s="44" t="s">
        <v>720</v>
      </c>
      <c r="D7" s="44" t="s">
        <v>709</v>
      </c>
      <c r="E7" s="47" t="n">
        <v>2150</v>
      </c>
      <c r="F7" s="48" t="s">
        <v>718</v>
      </c>
      <c r="G7" s="47" t="n">
        <v>2200</v>
      </c>
      <c r="H7" s="48" t="s">
        <v>718</v>
      </c>
      <c r="I7" s="47" t="n">
        <v>1185</v>
      </c>
      <c r="J7" s="48" t="s">
        <v>718</v>
      </c>
      <c r="K7" s="47" t="n">
        <v>53.9</v>
      </c>
      <c r="L7" s="48" t="s">
        <v>718</v>
      </c>
      <c r="M7" s="47" t="n">
        <v>535</v>
      </c>
      <c r="N7" s="48" t="s">
        <v>718</v>
      </c>
      <c r="O7" s="47" t="n">
        <v>24.3</v>
      </c>
      <c r="P7" s="48" t="s">
        <v>718</v>
      </c>
      <c r="Q7" s="47" t="n">
        <v>1015</v>
      </c>
      <c r="R7" s="48" t="s">
        <v>718</v>
      </c>
      <c r="S7" s="47" t="n">
        <v>460</v>
      </c>
      <c r="T7" s="48" t="s">
        <v>718</v>
      </c>
      <c r="U7" s="47" t="n">
        <v>0.0406</v>
      </c>
      <c r="V7" s="48" t="s">
        <v>718</v>
      </c>
    </row>
    <row r="8" customFormat="false" ht="15" hidden="false" customHeight="false" outlineLevel="0" collapsed="false">
      <c r="A8" s="43" t="s">
        <v>727</v>
      </c>
      <c r="B8" s="45" t="n">
        <v>2021</v>
      </c>
      <c r="C8" s="43" t="s">
        <v>722</v>
      </c>
      <c r="D8" s="43" t="s">
        <v>709</v>
      </c>
      <c r="E8" s="45" t="n">
        <v>2290</v>
      </c>
      <c r="F8" s="48" t="s">
        <v>718</v>
      </c>
      <c r="G8" s="45" t="n">
        <v>2345</v>
      </c>
      <c r="H8" s="48" t="s">
        <v>718</v>
      </c>
      <c r="I8" s="45" t="n">
        <v>1265</v>
      </c>
      <c r="J8" s="48" t="s">
        <v>718</v>
      </c>
      <c r="K8" s="45" t="n">
        <v>53.9</v>
      </c>
      <c r="L8" s="48" t="s">
        <v>718</v>
      </c>
      <c r="M8" s="45" t="n">
        <v>580</v>
      </c>
      <c r="N8" s="48" t="s">
        <v>718</v>
      </c>
      <c r="O8" s="45" t="n">
        <v>24.7</v>
      </c>
      <c r="P8" s="48" t="s">
        <v>718</v>
      </c>
      <c r="Q8" s="45" t="n">
        <v>1080</v>
      </c>
      <c r="R8" s="48" t="s">
        <v>718</v>
      </c>
      <c r="S8" s="45" t="n">
        <v>495</v>
      </c>
      <c r="T8" s="48" t="s">
        <v>718</v>
      </c>
      <c r="U8" s="45" t="n">
        <v>0.044</v>
      </c>
      <c r="V8" s="48" t="s">
        <v>718</v>
      </c>
    </row>
    <row r="9" customFormat="false" ht="15" hidden="false" customHeight="false" outlineLevel="0" collapsed="false">
      <c r="A9" s="44" t="s">
        <v>728</v>
      </c>
      <c r="B9" s="47" t="n">
        <v>2021</v>
      </c>
      <c r="C9" s="44" t="s">
        <v>724</v>
      </c>
      <c r="D9" s="44" t="s">
        <v>709</v>
      </c>
      <c r="E9" s="47" t="n">
        <v>2575</v>
      </c>
      <c r="F9" s="48" t="s">
        <v>718</v>
      </c>
      <c r="G9" s="47" t="n">
        <v>2640</v>
      </c>
      <c r="H9" s="48" t="s">
        <v>718</v>
      </c>
      <c r="I9" s="47" t="n">
        <v>1455</v>
      </c>
      <c r="J9" s="48" t="s">
        <v>718</v>
      </c>
      <c r="K9" s="47" t="n">
        <v>54.7</v>
      </c>
      <c r="L9" s="48" t="s">
        <v>718</v>
      </c>
      <c r="M9" s="47" t="n">
        <v>675</v>
      </c>
      <c r="N9" s="48" t="s">
        <v>718</v>
      </c>
      <c r="O9" s="47" t="n">
        <v>25.6</v>
      </c>
      <c r="P9" s="48" t="s">
        <v>718</v>
      </c>
      <c r="Q9" s="47" t="n">
        <v>1185</v>
      </c>
      <c r="R9" s="48" t="s">
        <v>718</v>
      </c>
      <c r="S9" s="47" t="n">
        <v>580</v>
      </c>
      <c r="T9" s="48" t="s">
        <v>718</v>
      </c>
      <c r="U9" s="47" t="n">
        <v>0.0512</v>
      </c>
      <c r="V9" s="48" t="s">
        <v>718</v>
      </c>
    </row>
    <row r="10" customFormat="false" ht="15" hidden="false" customHeight="false" outlineLevel="0" collapsed="false">
      <c r="A10" s="43" t="s">
        <v>729</v>
      </c>
      <c r="B10" s="45" t="n">
        <v>2022</v>
      </c>
      <c r="C10" s="43" t="s">
        <v>717</v>
      </c>
      <c r="D10" s="43" t="s">
        <v>709</v>
      </c>
      <c r="E10" s="45" t="n">
        <v>2825</v>
      </c>
      <c r="F10" s="48" t="s">
        <v>718</v>
      </c>
      <c r="G10" s="45" t="n">
        <v>2890</v>
      </c>
      <c r="H10" s="48" t="s">
        <v>718</v>
      </c>
      <c r="I10" s="45" t="n">
        <v>1605</v>
      </c>
      <c r="J10" s="48" t="s">
        <v>718</v>
      </c>
      <c r="K10" s="45" t="n">
        <v>55.5</v>
      </c>
      <c r="L10" s="48" t="s">
        <v>718</v>
      </c>
      <c r="M10" s="45" t="n">
        <v>755</v>
      </c>
      <c r="N10" s="48" t="s">
        <v>718</v>
      </c>
      <c r="O10" s="45" t="n">
        <v>26.1</v>
      </c>
      <c r="P10" s="48" t="s">
        <v>718</v>
      </c>
      <c r="Q10" s="45" t="n">
        <v>1285</v>
      </c>
      <c r="R10" s="48" t="s">
        <v>718</v>
      </c>
      <c r="S10" s="45" t="n">
        <v>550</v>
      </c>
      <c r="T10" s="48" t="s">
        <v>718</v>
      </c>
      <c r="U10" s="45" t="n">
        <v>0.0573</v>
      </c>
      <c r="V10" s="48" t="s">
        <v>718</v>
      </c>
    </row>
    <row r="11" customFormat="false" ht="15" hidden="false" customHeight="false" outlineLevel="0" collapsed="false">
      <c r="A11" s="44" t="s">
        <v>730</v>
      </c>
      <c r="B11" s="47" t="n">
        <v>2022</v>
      </c>
      <c r="C11" s="44" t="s">
        <v>720</v>
      </c>
      <c r="D11" s="44" t="s">
        <v>709</v>
      </c>
      <c r="E11" s="47" t="n">
        <v>3050</v>
      </c>
      <c r="F11" s="48" t="s">
        <v>718</v>
      </c>
      <c r="G11" s="47" t="n">
        <v>3120</v>
      </c>
      <c r="H11" s="48" t="s">
        <v>718</v>
      </c>
      <c r="I11" s="47" t="n">
        <v>1740</v>
      </c>
      <c r="J11" s="48" t="s">
        <v>718</v>
      </c>
      <c r="K11" s="47" t="n">
        <v>55.8</v>
      </c>
      <c r="L11" s="48" t="s">
        <v>718</v>
      </c>
      <c r="M11" s="47" t="n">
        <v>825</v>
      </c>
      <c r="N11" s="48" t="s">
        <v>718</v>
      </c>
      <c r="O11" s="47" t="n">
        <v>26.4</v>
      </c>
      <c r="P11" s="48" t="s">
        <v>718</v>
      </c>
      <c r="Q11" s="47" t="n">
        <v>1380</v>
      </c>
      <c r="R11" s="48" t="s">
        <v>718</v>
      </c>
      <c r="S11" s="47" t="n">
        <v>605</v>
      </c>
      <c r="T11" s="48" t="s">
        <v>718</v>
      </c>
      <c r="U11" s="47" t="n">
        <v>0.0626</v>
      </c>
      <c r="V11" s="48" t="s">
        <v>718</v>
      </c>
    </row>
    <row r="12" customFormat="false" ht="15" hidden="false" customHeight="false" outlineLevel="0" collapsed="false">
      <c r="A12" s="43" t="s">
        <v>731</v>
      </c>
      <c r="B12" s="45" t="n">
        <v>2022</v>
      </c>
      <c r="C12" s="43" t="s">
        <v>722</v>
      </c>
      <c r="D12" s="43" t="s">
        <v>709</v>
      </c>
      <c r="E12" s="45" t="n">
        <v>3320</v>
      </c>
      <c r="F12" s="48" t="s">
        <v>718</v>
      </c>
      <c r="G12" s="45" t="n">
        <v>3395</v>
      </c>
      <c r="H12" s="48" t="s">
        <v>718</v>
      </c>
      <c r="I12" s="45" t="n">
        <v>1895</v>
      </c>
      <c r="J12" s="48" t="s">
        <v>718</v>
      </c>
      <c r="K12" s="45" t="n">
        <v>55.8</v>
      </c>
      <c r="L12" s="48" t="s">
        <v>718</v>
      </c>
      <c r="M12" s="45" t="n">
        <v>910</v>
      </c>
      <c r="N12" s="48" t="s">
        <v>718</v>
      </c>
      <c r="O12" s="45" t="n">
        <v>26.8</v>
      </c>
      <c r="P12" s="48" t="s">
        <v>718</v>
      </c>
      <c r="Q12" s="45" t="n">
        <v>1500</v>
      </c>
      <c r="R12" s="48" t="s">
        <v>718</v>
      </c>
      <c r="S12" s="45" t="n">
        <v>675</v>
      </c>
      <c r="T12" s="48" t="s">
        <v>718</v>
      </c>
      <c r="U12" s="45" t="n">
        <v>0.069</v>
      </c>
      <c r="V12" s="48" t="s">
        <v>718</v>
      </c>
    </row>
    <row r="13" customFormat="false" ht="15" hidden="false" customHeight="false" outlineLevel="0" collapsed="false">
      <c r="A13" s="44" t="s">
        <v>732</v>
      </c>
      <c r="B13" s="47" t="n">
        <v>2022</v>
      </c>
      <c r="C13" s="44" t="s">
        <v>724</v>
      </c>
      <c r="D13" s="44" t="s">
        <v>709</v>
      </c>
      <c r="E13" s="47" t="n">
        <v>3805</v>
      </c>
      <c r="F13" s="48" t="s">
        <v>718</v>
      </c>
      <c r="G13" s="47" t="n">
        <v>3895</v>
      </c>
      <c r="H13" s="48" t="s">
        <v>718</v>
      </c>
      <c r="I13" s="47" t="n">
        <v>2160</v>
      </c>
      <c r="J13" s="48" t="s">
        <v>718</v>
      </c>
      <c r="K13" s="47" t="n">
        <v>55.7</v>
      </c>
      <c r="L13" s="48" t="s">
        <v>718</v>
      </c>
      <c r="M13" s="47" t="n">
        <v>1075</v>
      </c>
      <c r="N13" s="48" t="s">
        <v>718</v>
      </c>
      <c r="O13" s="47" t="n">
        <v>27.6</v>
      </c>
      <c r="P13" s="48" t="s">
        <v>718</v>
      </c>
      <c r="Q13" s="47" t="n">
        <v>1745</v>
      </c>
      <c r="R13" s="48" t="s">
        <v>718</v>
      </c>
      <c r="S13" s="47" t="n">
        <v>800</v>
      </c>
      <c r="T13" s="48" t="s">
        <v>718</v>
      </c>
      <c r="U13" s="47" t="n">
        <v>0.0816</v>
      </c>
      <c r="V13" s="48" t="s">
        <v>718</v>
      </c>
    </row>
    <row r="14" customFormat="false" ht="15" hidden="false" customHeight="false" outlineLevel="0" collapsed="false">
      <c r="A14" s="43" t="s">
        <v>733</v>
      </c>
      <c r="B14" s="45" t="n">
        <v>2023</v>
      </c>
      <c r="C14" s="43" t="s">
        <v>717</v>
      </c>
      <c r="D14" s="43" t="s">
        <v>709</v>
      </c>
      <c r="E14" s="45" t="n">
        <v>3725</v>
      </c>
      <c r="F14" s="48" t="s">
        <v>718</v>
      </c>
      <c r="G14" s="45" t="n">
        <v>3815</v>
      </c>
      <c r="H14" s="48" t="s">
        <v>718</v>
      </c>
      <c r="I14" s="45" t="n">
        <v>2090</v>
      </c>
      <c r="J14" s="48" t="s">
        <v>718</v>
      </c>
      <c r="K14" s="45" t="n">
        <v>55.7</v>
      </c>
      <c r="L14" s="48" t="s">
        <v>718</v>
      </c>
      <c r="M14" s="45" t="n">
        <v>1020</v>
      </c>
      <c r="N14" s="48" t="s">
        <v>718</v>
      </c>
      <c r="O14" s="45" t="n">
        <v>26.7</v>
      </c>
      <c r="P14" s="48" t="s">
        <v>718</v>
      </c>
      <c r="Q14" s="45" t="n">
        <v>1735</v>
      </c>
      <c r="R14" s="48" t="s">
        <v>718</v>
      </c>
      <c r="S14" s="45" t="n">
        <v>675</v>
      </c>
      <c r="T14" s="48" t="s">
        <v>718</v>
      </c>
      <c r="U14" s="45" t="n">
        <v>0.0774</v>
      </c>
      <c r="V14" s="48" t="s">
        <v>718</v>
      </c>
    </row>
    <row r="15" customFormat="false" ht="15" hidden="false" customHeight="false" outlineLevel="0" collapsed="false">
      <c r="A15" s="44" t="s">
        <v>734</v>
      </c>
      <c r="B15" s="47" t="n">
        <v>2023</v>
      </c>
      <c r="C15" s="44" t="s">
        <v>720</v>
      </c>
      <c r="D15" s="44" t="s">
        <v>709</v>
      </c>
      <c r="E15" s="47" t="n">
        <v>4075</v>
      </c>
      <c r="F15" s="48" t="s">
        <v>718</v>
      </c>
      <c r="G15" s="47" t="n">
        <v>4170</v>
      </c>
      <c r="H15" s="48" t="s">
        <v>718</v>
      </c>
      <c r="I15" s="47" t="n">
        <v>2305</v>
      </c>
      <c r="J15" s="48" t="s">
        <v>718</v>
      </c>
      <c r="K15" s="47" t="n">
        <v>55.7</v>
      </c>
      <c r="L15" s="48" t="s">
        <v>718</v>
      </c>
      <c r="M15" s="47" t="n">
        <v>1135</v>
      </c>
      <c r="N15" s="48" t="s">
        <v>718</v>
      </c>
      <c r="O15" s="47" t="n">
        <v>27.2</v>
      </c>
      <c r="P15" s="48" t="s">
        <v>718</v>
      </c>
      <c r="Q15" s="47" t="n">
        <v>1865</v>
      </c>
      <c r="R15" s="48" t="s">
        <v>718</v>
      </c>
      <c r="S15" s="47" t="n">
        <v>755</v>
      </c>
      <c r="T15" s="48" t="s">
        <v>718</v>
      </c>
      <c r="U15" s="47" t="n">
        <v>0.0861</v>
      </c>
      <c r="V15" s="48" t="s">
        <v>718</v>
      </c>
    </row>
    <row r="16" customFormat="false" ht="15" hidden="false" customHeight="false" outlineLevel="0" collapsed="false">
      <c r="A16" s="43" t="s">
        <v>735</v>
      </c>
      <c r="B16" s="45" t="n">
        <v>2023</v>
      </c>
      <c r="C16" s="43" t="s">
        <v>722</v>
      </c>
      <c r="D16" s="43" t="s">
        <v>709</v>
      </c>
      <c r="E16" s="45" t="n">
        <v>4520</v>
      </c>
      <c r="F16" s="48" t="s">
        <v>718</v>
      </c>
      <c r="G16" s="45" t="n">
        <v>4625</v>
      </c>
      <c r="H16" s="48" t="s">
        <v>718</v>
      </c>
      <c r="I16" s="45" t="n">
        <v>2570</v>
      </c>
      <c r="J16" s="48" t="s">
        <v>718</v>
      </c>
      <c r="K16" s="45" t="n">
        <v>55.6</v>
      </c>
      <c r="L16" s="48" t="s">
        <v>718</v>
      </c>
      <c r="M16" s="45" t="n">
        <v>1280</v>
      </c>
      <c r="N16" s="48" t="s">
        <v>718</v>
      </c>
      <c r="O16" s="45" t="n">
        <v>27.7</v>
      </c>
      <c r="P16" s="48" t="s">
        <v>718</v>
      </c>
      <c r="Q16" s="45" t="n">
        <v>2055</v>
      </c>
      <c r="R16" s="48" t="s">
        <v>718</v>
      </c>
      <c r="S16" s="45" t="n">
        <v>855</v>
      </c>
      <c r="T16" s="48" t="s">
        <v>718</v>
      </c>
      <c r="U16" s="45" t="n">
        <v>0.0972</v>
      </c>
      <c r="V16" s="48" t="s">
        <v>718</v>
      </c>
    </row>
    <row r="17" customFormat="false" ht="15" hidden="false" customHeight="false" outlineLevel="0" collapsed="false">
      <c r="A17" s="44" t="s">
        <v>736</v>
      </c>
      <c r="B17" s="47" t="n">
        <v>2023</v>
      </c>
      <c r="C17" s="44" t="s">
        <v>724</v>
      </c>
      <c r="D17" s="44" t="s">
        <v>709</v>
      </c>
      <c r="E17" s="47" t="n">
        <v>5580</v>
      </c>
      <c r="F17" s="48" t="s">
        <v>718</v>
      </c>
      <c r="G17" s="47" t="n">
        <v>5710</v>
      </c>
      <c r="H17" s="48" t="s">
        <v>718</v>
      </c>
      <c r="I17" s="47" t="n">
        <v>3185</v>
      </c>
      <c r="J17" s="48" t="s">
        <v>718</v>
      </c>
      <c r="K17" s="47" t="n">
        <v>55.8</v>
      </c>
      <c r="L17" s="48" t="s">
        <v>718</v>
      </c>
      <c r="M17" s="47" t="n">
        <v>1565</v>
      </c>
      <c r="N17" s="48" t="s">
        <v>718</v>
      </c>
      <c r="O17" s="47" t="n">
        <v>27.4</v>
      </c>
      <c r="P17" s="48" t="s">
        <v>718</v>
      </c>
      <c r="Q17" s="47" t="n">
        <v>2525</v>
      </c>
      <c r="R17" s="48" t="s">
        <v>718</v>
      </c>
      <c r="S17" s="47" t="n">
        <v>1115</v>
      </c>
      <c r="T17" s="48" t="s">
        <v>718</v>
      </c>
      <c r="U17" s="47" t="n">
        <v>0.1188</v>
      </c>
      <c r="V17" s="48" t="s">
        <v>718</v>
      </c>
    </row>
    <row r="18" customFormat="false" ht="15" hidden="false" customHeight="false" outlineLevel="0" collapsed="false">
      <c r="A18" s="43" t="s">
        <v>737</v>
      </c>
      <c r="B18" s="45" t="n">
        <v>2024</v>
      </c>
      <c r="C18" s="43" t="s">
        <v>717</v>
      </c>
      <c r="D18" s="43" t="s">
        <v>709</v>
      </c>
      <c r="E18" s="45" t="n">
        <v>4910</v>
      </c>
      <c r="F18" s="48" t="s">
        <v>718</v>
      </c>
      <c r="G18" s="45" t="n">
        <v>5020</v>
      </c>
      <c r="H18" s="48" t="s">
        <v>718</v>
      </c>
      <c r="I18" s="45" t="n">
        <v>2780</v>
      </c>
      <c r="J18" s="48" t="s">
        <v>718</v>
      </c>
      <c r="K18" s="45" t="n">
        <v>55.7</v>
      </c>
      <c r="L18" s="48" t="s">
        <v>718</v>
      </c>
      <c r="M18" s="45" t="n">
        <v>1395</v>
      </c>
      <c r="N18" s="48" t="s">
        <v>718</v>
      </c>
      <c r="O18" s="45" t="n">
        <v>27.8</v>
      </c>
      <c r="P18" s="48" t="s">
        <v>718</v>
      </c>
      <c r="Q18" s="45" t="n">
        <v>2240</v>
      </c>
      <c r="R18" s="48" t="s">
        <v>718</v>
      </c>
      <c r="S18" s="45" t="n">
        <v>995</v>
      </c>
      <c r="T18" s="48" t="s">
        <v>718</v>
      </c>
      <c r="U18" s="45" t="n">
        <v>0.1059</v>
      </c>
      <c r="V18" s="48" t="s">
        <v>718</v>
      </c>
    </row>
    <row r="19" customFormat="false" ht="15" hidden="false" customHeight="false" outlineLevel="0" collapsed="false">
      <c r="A19" s="44" t="s">
        <v>738</v>
      </c>
      <c r="B19" s="47" t="n">
        <v>2024</v>
      </c>
      <c r="C19" s="44" t="s">
        <v>720</v>
      </c>
      <c r="D19" s="44" t="s">
        <v>709</v>
      </c>
      <c r="E19" s="47" t="n">
        <v>5475</v>
      </c>
      <c r="F19" s="48" t="s">
        <v>718</v>
      </c>
      <c r="G19" s="47" t="n">
        <v>5605</v>
      </c>
      <c r="H19" s="48" t="s">
        <v>718</v>
      </c>
      <c r="I19" s="47" t="n">
        <v>3115</v>
      </c>
      <c r="J19" s="48" t="s">
        <v>718</v>
      </c>
      <c r="K19" s="47" t="n">
        <v>55.5</v>
      </c>
      <c r="L19" s="48" t="s">
        <v>718</v>
      </c>
      <c r="M19" s="47" t="n">
        <v>1565</v>
      </c>
      <c r="N19" s="48" t="s">
        <v>718</v>
      </c>
      <c r="O19" s="47" t="n">
        <v>27.9</v>
      </c>
      <c r="P19" s="48" t="s">
        <v>718</v>
      </c>
      <c r="Q19" s="47" t="n">
        <v>2490</v>
      </c>
      <c r="R19" s="48" t="s">
        <v>718</v>
      </c>
      <c r="S19" s="47" t="n">
        <v>1115</v>
      </c>
      <c r="T19" s="48" t="s">
        <v>718</v>
      </c>
      <c r="U19" s="47" t="n">
        <v>0.1188</v>
      </c>
      <c r="V19" s="48" t="s">
        <v>718</v>
      </c>
    </row>
    <row r="20" customFormat="false" ht="15" hidden="false" customHeight="false" outlineLevel="0" collapsed="false">
      <c r="A20" s="43" t="s">
        <v>739</v>
      </c>
      <c r="B20" s="45" t="n">
        <v>2024</v>
      </c>
      <c r="C20" s="43" t="s">
        <v>722</v>
      </c>
      <c r="D20" s="43" t="s">
        <v>709</v>
      </c>
      <c r="E20" s="45" t="n">
        <v>6055</v>
      </c>
      <c r="F20" s="48" t="s">
        <v>718</v>
      </c>
      <c r="G20" s="45" t="n">
        <v>6195</v>
      </c>
      <c r="H20" s="48" t="s">
        <v>718</v>
      </c>
      <c r="I20" s="45" t="n">
        <v>3450</v>
      </c>
      <c r="J20" s="48" t="s">
        <v>718</v>
      </c>
      <c r="K20" s="45" t="n">
        <v>55.7</v>
      </c>
      <c r="L20" s="48" t="s">
        <v>718</v>
      </c>
      <c r="M20" s="45" t="n">
        <v>1735</v>
      </c>
      <c r="N20" s="48" t="s">
        <v>718</v>
      </c>
      <c r="O20" s="45" t="n">
        <v>28</v>
      </c>
      <c r="P20" s="48" t="s">
        <v>718</v>
      </c>
      <c r="Q20" s="45" t="n">
        <v>2745</v>
      </c>
      <c r="R20" s="48" t="s">
        <v>718</v>
      </c>
      <c r="S20" s="45" t="n">
        <v>1240</v>
      </c>
      <c r="T20" s="48" t="s">
        <v>718</v>
      </c>
      <c r="U20" s="45" t="n">
        <v>0.1317</v>
      </c>
      <c r="V20" s="48" t="s">
        <v>718</v>
      </c>
    </row>
    <row r="21" customFormat="false" ht="15" hidden="false" customHeight="false" outlineLevel="0" collapsed="false">
      <c r="A21" s="44" t="s">
        <v>740</v>
      </c>
      <c r="B21" s="47" t="n">
        <v>2024</v>
      </c>
      <c r="C21" s="44" t="s">
        <v>724</v>
      </c>
      <c r="D21" s="44" t="s">
        <v>709</v>
      </c>
      <c r="E21" s="47" t="n">
        <v>7460</v>
      </c>
      <c r="F21" s="48" t="s">
        <v>718</v>
      </c>
      <c r="G21" s="47" t="n">
        <v>7630</v>
      </c>
      <c r="H21" s="48" t="s">
        <v>718</v>
      </c>
      <c r="I21" s="47" t="n">
        <v>4255</v>
      </c>
      <c r="J21" s="48" t="s">
        <v>718</v>
      </c>
      <c r="K21" s="47" t="n">
        <v>55.8</v>
      </c>
      <c r="L21" s="48" t="s">
        <v>718</v>
      </c>
      <c r="M21" s="47" t="n">
        <v>2150</v>
      </c>
      <c r="N21" s="48" t="s">
        <v>718</v>
      </c>
      <c r="O21" s="47" t="n">
        <v>28.2</v>
      </c>
      <c r="P21" s="48" t="s">
        <v>718</v>
      </c>
      <c r="Q21" s="47" t="n">
        <v>3375</v>
      </c>
      <c r="R21" s="48" t="s">
        <v>718</v>
      </c>
      <c r="S21" s="47" t="n">
        <v>1530</v>
      </c>
      <c r="T21" s="48" t="s">
        <v>718</v>
      </c>
      <c r="U21" s="47" t="n">
        <v>0.1632</v>
      </c>
      <c r="V21" s="48" t="s">
        <v>718</v>
      </c>
    </row>
    <row r="22" customFormat="false" ht="15" hidden="false" customHeight="false" outlineLevel="0" collapsed="false">
      <c r="A22" s="43" t="s">
        <v>741</v>
      </c>
      <c r="B22" s="45" t="n">
        <v>2025</v>
      </c>
      <c r="C22" s="43" t="s">
        <v>717</v>
      </c>
      <c r="D22" s="43" t="s">
        <v>709</v>
      </c>
      <c r="E22" s="45" t="n">
        <v>5395</v>
      </c>
      <c r="F22" s="48" t="s">
        <v>718</v>
      </c>
      <c r="G22" s="45" t="n">
        <v>5520</v>
      </c>
      <c r="H22" s="48" t="s">
        <v>718</v>
      </c>
      <c r="I22" s="45" t="n">
        <v>3145</v>
      </c>
      <c r="J22" s="48" t="s">
        <v>718</v>
      </c>
      <c r="K22" s="45" t="n">
        <v>57</v>
      </c>
      <c r="L22" s="48" t="s">
        <v>718</v>
      </c>
      <c r="M22" s="45" t="n">
        <v>1690</v>
      </c>
      <c r="N22" s="48" t="s">
        <v>718</v>
      </c>
      <c r="O22" s="45" t="n">
        <v>30.6</v>
      </c>
      <c r="P22" s="48" t="s">
        <v>718</v>
      </c>
      <c r="Q22" s="45" t="n">
        <v>2350</v>
      </c>
      <c r="R22" s="48" t="s">
        <v>718</v>
      </c>
      <c r="S22" s="45" t="n">
        <v>1185</v>
      </c>
      <c r="T22" s="48" t="s">
        <v>718</v>
      </c>
      <c r="U22" s="45" t="n">
        <v>0.1283</v>
      </c>
      <c r="V22" s="46" t="s">
        <v>686</v>
      </c>
    </row>
    <row r="23" customFormat="false" ht="15" hidden="false" customHeight="false" outlineLevel="0" collapsed="false">
      <c r="A23" s="44" t="s">
        <v>742</v>
      </c>
      <c r="B23" s="47" t="n">
        <v>2025</v>
      </c>
      <c r="C23" s="44" t="s">
        <v>720</v>
      </c>
      <c r="D23" s="44" t="s">
        <v>709</v>
      </c>
      <c r="E23" s="47" t="n">
        <v>5905</v>
      </c>
      <c r="F23" s="48" t="s">
        <v>718</v>
      </c>
      <c r="G23" s="47" t="n">
        <v>6045</v>
      </c>
      <c r="H23" s="48" t="s">
        <v>718</v>
      </c>
      <c r="I23" s="47" t="n">
        <v>3455</v>
      </c>
      <c r="J23" s="48" t="s">
        <v>718</v>
      </c>
      <c r="K23" s="47" t="n">
        <v>57.2</v>
      </c>
      <c r="L23" s="48" t="s">
        <v>718</v>
      </c>
      <c r="M23" s="47" t="n">
        <v>1910</v>
      </c>
      <c r="N23" s="48" t="s">
        <v>718</v>
      </c>
      <c r="O23" s="47" t="n">
        <v>31.6</v>
      </c>
      <c r="P23" s="48" t="s">
        <v>718</v>
      </c>
      <c r="Q23" s="47" t="n">
        <v>2590</v>
      </c>
      <c r="R23" s="48" t="s">
        <v>718</v>
      </c>
      <c r="S23" s="47" t="n">
        <v>1295</v>
      </c>
      <c r="T23" s="48" t="s">
        <v>718</v>
      </c>
      <c r="U23" s="47" t="n">
        <v>0.145</v>
      </c>
      <c r="V23" s="46" t="s">
        <v>686</v>
      </c>
    </row>
    <row r="24" customFormat="false" ht="15" hidden="false" customHeight="false" outlineLevel="0" collapsed="false">
      <c r="A24" s="43" t="s">
        <v>743</v>
      </c>
      <c r="B24" s="45" t="n">
        <v>2025</v>
      </c>
      <c r="C24" s="43" t="s">
        <v>722</v>
      </c>
      <c r="D24" s="43" t="s">
        <v>709</v>
      </c>
      <c r="E24" s="45" t="n">
        <v>6275</v>
      </c>
      <c r="F24" s="49" t="s">
        <v>744</v>
      </c>
      <c r="G24" s="45" t="n">
        <v>6420</v>
      </c>
      <c r="H24" s="49" t="s">
        <v>744</v>
      </c>
      <c r="I24" s="45" t="n">
        <v>3780</v>
      </c>
      <c r="J24" s="49" t="s">
        <v>744</v>
      </c>
      <c r="K24" s="45" t="n">
        <v>60.2</v>
      </c>
      <c r="L24" s="49" t="s">
        <v>744</v>
      </c>
      <c r="M24" s="45" t="n">
        <v>2010</v>
      </c>
      <c r="N24" s="49" t="s">
        <v>744</v>
      </c>
      <c r="O24" s="45" t="n">
        <v>31.3</v>
      </c>
      <c r="P24" s="49" t="s">
        <v>744</v>
      </c>
      <c r="Q24" s="45" t="n">
        <v>2495</v>
      </c>
      <c r="R24" s="49" t="s">
        <v>744</v>
      </c>
      <c r="S24" s="45" t="n">
        <v>1370</v>
      </c>
      <c r="T24" s="49" t="s">
        <v>744</v>
      </c>
      <c r="U24" s="45" t="n">
        <v>0.1525</v>
      </c>
      <c r="V24" s="49" t="s">
        <v>744</v>
      </c>
    </row>
    <row r="25" customFormat="false" ht="15" hidden="false" customHeight="false" outlineLevel="0" collapsed="false">
      <c r="A25" s="44" t="s">
        <v>745</v>
      </c>
      <c r="B25" s="47" t="n">
        <v>2025</v>
      </c>
      <c r="C25" s="44" t="s">
        <v>724</v>
      </c>
      <c r="D25" s="44" t="s">
        <v>709</v>
      </c>
      <c r="E25" s="47" t="n">
        <v>6825</v>
      </c>
      <c r="F25" s="49" t="s">
        <v>744</v>
      </c>
      <c r="G25" s="47" t="n">
        <v>6985</v>
      </c>
      <c r="H25" s="49" t="s">
        <v>744</v>
      </c>
      <c r="I25" s="47" t="n">
        <v>4315</v>
      </c>
      <c r="J25" s="49" t="s">
        <v>744</v>
      </c>
      <c r="K25" s="47" t="n">
        <v>63.2</v>
      </c>
      <c r="L25" s="49" t="s">
        <v>744</v>
      </c>
      <c r="M25" s="47" t="n">
        <v>2190</v>
      </c>
      <c r="N25" s="49" t="s">
        <v>744</v>
      </c>
      <c r="O25" s="47" t="n">
        <v>32.1</v>
      </c>
      <c r="P25" s="49" t="s">
        <v>744</v>
      </c>
      <c r="Q25" s="47" t="n">
        <v>2510</v>
      </c>
      <c r="R25" s="49" t="s">
        <v>744</v>
      </c>
      <c r="S25" s="47" t="n">
        <v>1495</v>
      </c>
      <c r="T25" s="49" t="s">
        <v>744</v>
      </c>
      <c r="U25" s="47" t="n">
        <v>0.1665</v>
      </c>
      <c r="V25" s="49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9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23.85" hidden="false" customHeight="false" outlineLevel="0" collapsed="false">
      <c r="A1" s="42" t="s">
        <v>662</v>
      </c>
      <c r="B1" s="42" t="s">
        <v>663</v>
      </c>
      <c r="C1" s="42" t="s">
        <v>746</v>
      </c>
      <c r="D1" s="42" t="s">
        <v>747</v>
      </c>
      <c r="E1" s="42" t="s">
        <v>748</v>
      </c>
      <c r="F1" s="42" t="s">
        <v>749</v>
      </c>
      <c r="G1" s="42" t="s">
        <v>750</v>
      </c>
      <c r="H1" s="42" t="s">
        <v>751</v>
      </c>
      <c r="I1" s="42" t="s">
        <v>752</v>
      </c>
      <c r="J1" s="42" t="s">
        <v>753</v>
      </c>
      <c r="K1" s="42" t="s">
        <v>754</v>
      </c>
      <c r="L1" s="42" t="s">
        <v>755</v>
      </c>
      <c r="M1" s="42" t="s">
        <v>756</v>
      </c>
      <c r="N1" s="42" t="s">
        <v>757</v>
      </c>
      <c r="O1" s="42" t="s">
        <v>758</v>
      </c>
      <c r="P1" s="42" t="s">
        <v>759</v>
      </c>
    </row>
    <row r="2" customFormat="false" ht="15" hidden="false" customHeight="false" outlineLevel="0" collapsed="false">
      <c r="A2" s="43" t="s">
        <v>684</v>
      </c>
      <c r="B2" s="45" t="n">
        <v>2020</v>
      </c>
      <c r="C2" s="45" t="n">
        <v>2125</v>
      </c>
      <c r="D2" s="43"/>
      <c r="E2" s="45" t="n">
        <v>33</v>
      </c>
      <c r="F2" s="45" t="n">
        <v>2725</v>
      </c>
      <c r="G2" s="43"/>
      <c r="H2" s="45" t="n">
        <v>42.4</v>
      </c>
      <c r="I2" s="45" t="n">
        <v>1017</v>
      </c>
      <c r="J2" s="43"/>
      <c r="K2" s="45" t="n">
        <v>15.8</v>
      </c>
      <c r="L2" s="45" t="n">
        <v>61</v>
      </c>
      <c r="M2" s="43"/>
      <c r="N2" s="45" t="n">
        <v>0.9</v>
      </c>
      <c r="O2" s="45" t="n">
        <v>220</v>
      </c>
      <c r="P2" s="45" t="n">
        <v>282</v>
      </c>
    </row>
    <row r="3" customFormat="false" ht="15" hidden="false" customHeight="false" outlineLevel="0" collapsed="false">
      <c r="A3" s="44" t="s">
        <v>687</v>
      </c>
      <c r="B3" s="47" t="n">
        <v>2021</v>
      </c>
      <c r="C3" s="47" t="n">
        <v>3375</v>
      </c>
      <c r="D3" s="47" t="n">
        <v>58.8</v>
      </c>
      <c r="E3" s="47" t="n">
        <v>37.5</v>
      </c>
      <c r="F3" s="47" t="n">
        <v>3295</v>
      </c>
      <c r="G3" s="47" t="n">
        <v>20.9</v>
      </c>
      <c r="H3" s="47" t="n">
        <v>36.6</v>
      </c>
      <c r="I3" s="47" t="n">
        <v>1800</v>
      </c>
      <c r="J3" s="47" t="n">
        <v>77</v>
      </c>
      <c r="K3" s="47" t="n">
        <v>20</v>
      </c>
      <c r="L3" s="47" t="n">
        <v>114</v>
      </c>
      <c r="M3" s="47" t="n">
        <v>86.9</v>
      </c>
      <c r="N3" s="47" t="n">
        <v>1.3</v>
      </c>
      <c r="O3" s="47" t="n">
        <v>208</v>
      </c>
      <c r="P3" s="47" t="n">
        <v>208</v>
      </c>
    </row>
    <row r="4" customFormat="false" ht="15" hidden="false" customHeight="false" outlineLevel="0" collapsed="false">
      <c r="A4" s="43" t="s">
        <v>688</v>
      </c>
      <c r="B4" s="45" t="n">
        <v>2022</v>
      </c>
      <c r="C4" s="45" t="n">
        <v>5660</v>
      </c>
      <c r="D4" s="45" t="n">
        <v>67.7</v>
      </c>
      <c r="E4" s="45" t="n">
        <v>43.5</v>
      </c>
      <c r="F4" s="45" t="n">
        <v>4185</v>
      </c>
      <c r="G4" s="45" t="n">
        <v>27</v>
      </c>
      <c r="H4" s="45" t="n">
        <v>32.2</v>
      </c>
      <c r="I4" s="45" t="n">
        <v>2810</v>
      </c>
      <c r="J4" s="45" t="n">
        <v>56.1</v>
      </c>
      <c r="K4" s="45" t="n">
        <v>21.6</v>
      </c>
      <c r="L4" s="45" t="n">
        <v>209</v>
      </c>
      <c r="M4" s="45" t="n">
        <v>83.3</v>
      </c>
      <c r="N4" s="45" t="n">
        <v>1.6</v>
      </c>
      <c r="O4" s="45" t="n">
        <v>200</v>
      </c>
      <c r="P4" s="45" t="n">
        <v>-64</v>
      </c>
    </row>
    <row r="5" customFormat="false" ht="15" hidden="false" customHeight="false" outlineLevel="0" collapsed="false">
      <c r="A5" s="44" t="s">
        <v>689</v>
      </c>
      <c r="B5" s="47" t="n">
        <v>2023</v>
      </c>
      <c r="C5" s="47" t="n">
        <v>8340</v>
      </c>
      <c r="D5" s="47" t="n">
        <v>47.3</v>
      </c>
      <c r="E5" s="47" t="n">
        <v>46.6</v>
      </c>
      <c r="F5" s="47" t="n">
        <v>4240</v>
      </c>
      <c r="G5" s="47" t="n">
        <v>1.3</v>
      </c>
      <c r="H5" s="47" t="n">
        <v>23.7</v>
      </c>
      <c r="I5" s="47" t="n">
        <v>4525</v>
      </c>
      <c r="J5" s="47" t="n">
        <v>61</v>
      </c>
      <c r="K5" s="47" t="n">
        <v>25.3</v>
      </c>
      <c r="L5" s="47" t="n">
        <v>379</v>
      </c>
      <c r="M5" s="47" t="n">
        <v>81.3</v>
      </c>
      <c r="N5" s="47" t="n">
        <v>2.1</v>
      </c>
      <c r="O5" s="47" t="n">
        <v>184</v>
      </c>
      <c r="P5" s="47" t="n">
        <v>232</v>
      </c>
    </row>
    <row r="6" customFormat="false" ht="15" hidden="false" customHeight="false" outlineLevel="0" collapsed="false">
      <c r="A6" s="43" t="s">
        <v>690</v>
      </c>
      <c r="B6" s="45" t="n">
        <v>2024</v>
      </c>
      <c r="C6" s="45" t="n">
        <v>12005</v>
      </c>
      <c r="D6" s="45" t="n">
        <v>43.9</v>
      </c>
      <c r="E6" s="45" t="n">
        <v>50.2</v>
      </c>
      <c r="F6" s="45" t="n">
        <v>3740</v>
      </c>
      <c r="G6" s="45" t="n">
        <v>-11.8</v>
      </c>
      <c r="H6" s="45" t="n">
        <v>15.6</v>
      </c>
      <c r="I6" s="45" t="n">
        <v>6485</v>
      </c>
      <c r="J6" s="45" t="n">
        <v>43.3</v>
      </c>
      <c r="K6" s="45" t="n">
        <v>27.1</v>
      </c>
      <c r="L6" s="45" t="n">
        <v>755</v>
      </c>
      <c r="M6" s="45" t="n">
        <v>99.2</v>
      </c>
      <c r="N6" s="45" t="n">
        <v>3.2</v>
      </c>
      <c r="O6" s="45" t="n">
        <v>160</v>
      </c>
      <c r="P6" s="45" t="n">
        <v>755</v>
      </c>
    </row>
    <row r="7" customFormat="false" ht="15" hidden="false" customHeight="false" outlineLevel="0" collapsed="false">
      <c r="A7" s="44" t="s">
        <v>691</v>
      </c>
      <c r="B7" s="47" t="n">
        <v>2025</v>
      </c>
      <c r="C7" s="47" t="n">
        <v>12835</v>
      </c>
      <c r="D7" s="47" t="n">
        <v>6.9</v>
      </c>
      <c r="E7" s="47" t="n">
        <v>52.6</v>
      </c>
      <c r="F7" s="47" t="n">
        <v>4020</v>
      </c>
      <c r="G7" s="47" t="n">
        <v>7.5</v>
      </c>
      <c r="H7" s="47" t="n">
        <v>16.5</v>
      </c>
      <c r="I7" s="47" t="n">
        <v>6000</v>
      </c>
      <c r="J7" s="47" t="n">
        <v>-7.5</v>
      </c>
      <c r="K7" s="47" t="n">
        <v>24.6</v>
      </c>
      <c r="L7" s="47" t="n">
        <v>410</v>
      </c>
      <c r="M7" s="47" t="n">
        <v>-45.7</v>
      </c>
      <c r="N7" s="47" t="n">
        <v>1.7</v>
      </c>
      <c r="O7" s="47" t="n">
        <v>148</v>
      </c>
      <c r="P7" s="47" t="n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6"/>
    <col collapsed="false" customWidth="true" hidden="false" outlineLevel="0" max="10" min="10" style="0" width="16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22"/>
    <col collapsed="false" customWidth="true" hidden="false" outlineLevel="0" max="15" min="15" style="0" width="6"/>
  </cols>
  <sheetData>
    <row r="1" customFormat="false" ht="23.85" hidden="false" customHeight="false" outlineLevel="0" collapsed="false">
      <c r="A1" s="42" t="s">
        <v>662</v>
      </c>
      <c r="B1" s="42" t="s">
        <v>663</v>
      </c>
      <c r="C1" s="42" t="s">
        <v>709</v>
      </c>
      <c r="D1" s="42" t="s">
        <v>746</v>
      </c>
      <c r="E1" s="42" t="s">
        <v>760</v>
      </c>
      <c r="F1" s="42" t="s">
        <v>749</v>
      </c>
      <c r="G1" s="42" t="s">
        <v>761</v>
      </c>
      <c r="H1" s="42" t="s">
        <v>752</v>
      </c>
      <c r="I1" s="42" t="s">
        <v>762</v>
      </c>
      <c r="J1" s="42" t="s">
        <v>755</v>
      </c>
      <c r="K1" s="42" t="s">
        <v>763</v>
      </c>
      <c r="L1" s="42" t="s">
        <v>758</v>
      </c>
      <c r="M1" s="42" t="s">
        <v>764</v>
      </c>
      <c r="N1" s="42" t="s">
        <v>765</v>
      </c>
      <c r="O1" s="42" t="s">
        <v>766</v>
      </c>
    </row>
    <row r="2" customFormat="false" ht="15" hidden="false" customHeight="false" outlineLevel="0" collapsed="false">
      <c r="A2" s="43" t="s">
        <v>716</v>
      </c>
      <c r="B2" s="45" t="n">
        <v>2020</v>
      </c>
      <c r="C2" s="43" t="s">
        <v>717</v>
      </c>
      <c r="D2" s="45" t="n">
        <v>460</v>
      </c>
      <c r="E2" s="48" t="s">
        <v>718</v>
      </c>
      <c r="F2" s="45" t="n">
        <v>635</v>
      </c>
      <c r="G2" s="48" t="s">
        <v>718</v>
      </c>
      <c r="H2" s="45" t="n">
        <v>210</v>
      </c>
      <c r="I2" s="48" t="s">
        <v>718</v>
      </c>
      <c r="J2" s="45" t="n">
        <v>12</v>
      </c>
      <c r="K2" s="48" t="s">
        <v>718</v>
      </c>
      <c r="L2" s="45" t="n">
        <v>55</v>
      </c>
      <c r="M2" s="48" t="s">
        <v>718</v>
      </c>
      <c r="N2" s="45" t="n">
        <v>78</v>
      </c>
      <c r="O2" s="48" t="s">
        <v>718</v>
      </c>
    </row>
    <row r="3" customFormat="false" ht="15" hidden="false" customHeight="false" outlineLevel="0" collapsed="false">
      <c r="A3" s="44" t="s">
        <v>719</v>
      </c>
      <c r="B3" s="47" t="n">
        <v>2020</v>
      </c>
      <c r="C3" s="44" t="s">
        <v>720</v>
      </c>
      <c r="D3" s="47" t="n">
        <v>495</v>
      </c>
      <c r="E3" s="48" t="s">
        <v>718</v>
      </c>
      <c r="F3" s="47" t="n">
        <v>655</v>
      </c>
      <c r="G3" s="48" t="s">
        <v>718</v>
      </c>
      <c r="H3" s="47" t="n">
        <v>232</v>
      </c>
      <c r="I3" s="48" t="s">
        <v>718</v>
      </c>
      <c r="J3" s="47" t="n">
        <v>14</v>
      </c>
      <c r="K3" s="48" t="s">
        <v>718</v>
      </c>
      <c r="L3" s="47" t="n">
        <v>55</v>
      </c>
      <c r="M3" s="48" t="s">
        <v>718</v>
      </c>
      <c r="N3" s="47" t="n">
        <v>69</v>
      </c>
      <c r="O3" s="48" t="s">
        <v>718</v>
      </c>
    </row>
    <row r="4" customFormat="false" ht="15" hidden="false" customHeight="false" outlineLevel="0" collapsed="false">
      <c r="A4" s="43" t="s">
        <v>721</v>
      </c>
      <c r="B4" s="45" t="n">
        <v>2020</v>
      </c>
      <c r="C4" s="43" t="s">
        <v>722</v>
      </c>
      <c r="D4" s="45" t="n">
        <v>545</v>
      </c>
      <c r="E4" s="48" t="s">
        <v>718</v>
      </c>
      <c r="F4" s="45" t="n">
        <v>690</v>
      </c>
      <c r="G4" s="48" t="s">
        <v>718</v>
      </c>
      <c r="H4" s="45" t="n">
        <v>265</v>
      </c>
      <c r="I4" s="48" t="s">
        <v>718</v>
      </c>
      <c r="J4" s="45" t="n">
        <v>16</v>
      </c>
      <c r="K4" s="48" t="s">
        <v>718</v>
      </c>
      <c r="L4" s="45" t="n">
        <v>55</v>
      </c>
      <c r="M4" s="48" t="s">
        <v>718</v>
      </c>
      <c r="N4" s="45" t="n">
        <v>64</v>
      </c>
      <c r="O4" s="48" t="s">
        <v>718</v>
      </c>
    </row>
    <row r="5" customFormat="false" ht="15" hidden="false" customHeight="false" outlineLevel="0" collapsed="false">
      <c r="A5" s="44" t="s">
        <v>723</v>
      </c>
      <c r="B5" s="47" t="n">
        <v>2020</v>
      </c>
      <c r="C5" s="44" t="s">
        <v>724</v>
      </c>
      <c r="D5" s="47" t="n">
        <v>625</v>
      </c>
      <c r="E5" s="48" t="s">
        <v>718</v>
      </c>
      <c r="F5" s="47" t="n">
        <v>745</v>
      </c>
      <c r="G5" s="48" t="s">
        <v>718</v>
      </c>
      <c r="H5" s="47" t="n">
        <v>310</v>
      </c>
      <c r="I5" s="48" t="s">
        <v>718</v>
      </c>
      <c r="J5" s="47" t="n">
        <v>19</v>
      </c>
      <c r="K5" s="48" t="s">
        <v>718</v>
      </c>
      <c r="L5" s="47" t="n">
        <v>55</v>
      </c>
      <c r="M5" s="48" t="s">
        <v>718</v>
      </c>
      <c r="N5" s="47" t="n">
        <v>71</v>
      </c>
      <c r="O5" s="48" t="s">
        <v>718</v>
      </c>
    </row>
    <row r="6" customFormat="false" ht="15" hidden="false" customHeight="false" outlineLevel="0" collapsed="false">
      <c r="A6" s="43" t="s">
        <v>725</v>
      </c>
      <c r="B6" s="45" t="n">
        <v>2021</v>
      </c>
      <c r="C6" s="43" t="s">
        <v>717</v>
      </c>
      <c r="D6" s="45" t="n">
        <v>710</v>
      </c>
      <c r="E6" s="48" t="s">
        <v>718</v>
      </c>
      <c r="F6" s="45" t="n">
        <v>790</v>
      </c>
      <c r="G6" s="48" t="s">
        <v>718</v>
      </c>
      <c r="H6" s="45" t="n">
        <v>365</v>
      </c>
      <c r="I6" s="48" t="s">
        <v>718</v>
      </c>
      <c r="J6" s="45" t="n">
        <v>22</v>
      </c>
      <c r="K6" s="48" t="s">
        <v>718</v>
      </c>
      <c r="L6" s="45" t="n">
        <v>52</v>
      </c>
      <c r="M6" s="48" t="s">
        <v>718</v>
      </c>
      <c r="N6" s="45" t="n">
        <v>46</v>
      </c>
      <c r="O6" s="48" t="s">
        <v>718</v>
      </c>
    </row>
    <row r="7" customFormat="false" ht="15" hidden="false" customHeight="false" outlineLevel="0" collapsed="false">
      <c r="A7" s="44" t="s">
        <v>726</v>
      </c>
      <c r="B7" s="47" t="n">
        <v>2021</v>
      </c>
      <c r="C7" s="44" t="s">
        <v>720</v>
      </c>
      <c r="D7" s="47" t="n">
        <v>790</v>
      </c>
      <c r="E7" s="48" t="s">
        <v>718</v>
      </c>
      <c r="F7" s="47" t="n">
        <v>820</v>
      </c>
      <c r="G7" s="48" t="s">
        <v>718</v>
      </c>
      <c r="H7" s="47" t="n">
        <v>420</v>
      </c>
      <c r="I7" s="48" t="s">
        <v>718</v>
      </c>
      <c r="J7" s="47" t="n">
        <v>26</v>
      </c>
      <c r="K7" s="48" t="s">
        <v>718</v>
      </c>
      <c r="L7" s="47" t="n">
        <v>52</v>
      </c>
      <c r="M7" s="48" t="s">
        <v>718</v>
      </c>
      <c r="N7" s="47" t="n">
        <v>42</v>
      </c>
      <c r="O7" s="48" t="s">
        <v>718</v>
      </c>
    </row>
    <row r="8" customFormat="false" ht="15" hidden="false" customHeight="false" outlineLevel="0" collapsed="false">
      <c r="A8" s="43" t="s">
        <v>727</v>
      </c>
      <c r="B8" s="45" t="n">
        <v>2021</v>
      </c>
      <c r="C8" s="43" t="s">
        <v>722</v>
      </c>
      <c r="D8" s="45" t="n">
        <v>865</v>
      </c>
      <c r="E8" s="48" t="s">
        <v>718</v>
      </c>
      <c r="F8" s="45" t="n">
        <v>855</v>
      </c>
      <c r="G8" s="48" t="s">
        <v>718</v>
      </c>
      <c r="H8" s="45" t="n">
        <v>470</v>
      </c>
      <c r="I8" s="48" t="s">
        <v>718</v>
      </c>
      <c r="J8" s="45" t="n">
        <v>30</v>
      </c>
      <c r="K8" s="48" t="s">
        <v>718</v>
      </c>
      <c r="L8" s="45" t="n">
        <v>52</v>
      </c>
      <c r="M8" s="48" t="s">
        <v>718</v>
      </c>
      <c r="N8" s="45" t="n">
        <v>18</v>
      </c>
      <c r="O8" s="48" t="s">
        <v>718</v>
      </c>
    </row>
    <row r="9" customFormat="false" ht="15" hidden="false" customHeight="false" outlineLevel="0" collapsed="false">
      <c r="A9" s="44" t="s">
        <v>728</v>
      </c>
      <c r="B9" s="47" t="n">
        <v>2021</v>
      </c>
      <c r="C9" s="44" t="s">
        <v>724</v>
      </c>
      <c r="D9" s="47" t="n">
        <v>1010</v>
      </c>
      <c r="E9" s="48" t="s">
        <v>718</v>
      </c>
      <c r="F9" s="47" t="n">
        <v>930</v>
      </c>
      <c r="G9" s="48" t="s">
        <v>718</v>
      </c>
      <c r="H9" s="47" t="n">
        <v>545</v>
      </c>
      <c r="I9" s="48" t="s">
        <v>718</v>
      </c>
      <c r="J9" s="47" t="n">
        <v>36</v>
      </c>
      <c r="K9" s="48" t="s">
        <v>718</v>
      </c>
      <c r="L9" s="47" t="n">
        <v>52</v>
      </c>
      <c r="M9" s="48" t="s">
        <v>718</v>
      </c>
      <c r="N9" s="47" t="n">
        <v>2</v>
      </c>
      <c r="O9" s="48" t="s">
        <v>718</v>
      </c>
    </row>
    <row r="10" customFormat="false" ht="15" hidden="false" customHeight="false" outlineLevel="0" collapsed="false">
      <c r="A10" s="43" t="s">
        <v>729</v>
      </c>
      <c r="B10" s="45" t="n">
        <v>2022</v>
      </c>
      <c r="C10" s="43" t="s">
        <v>717</v>
      </c>
      <c r="D10" s="45" t="n">
        <v>1190</v>
      </c>
      <c r="E10" s="48" t="s">
        <v>718</v>
      </c>
      <c r="F10" s="45" t="n">
        <v>985</v>
      </c>
      <c r="G10" s="48" t="s">
        <v>718</v>
      </c>
      <c r="H10" s="45" t="n">
        <v>580</v>
      </c>
      <c r="I10" s="48" t="s">
        <v>718</v>
      </c>
      <c r="J10" s="45" t="n">
        <v>42</v>
      </c>
      <c r="K10" s="48" t="s">
        <v>718</v>
      </c>
      <c r="L10" s="45" t="n">
        <v>50</v>
      </c>
      <c r="M10" s="48" t="s">
        <v>718</v>
      </c>
      <c r="N10" s="45" t="n">
        <v>-22</v>
      </c>
      <c r="O10" s="48" t="s">
        <v>718</v>
      </c>
    </row>
    <row r="11" customFormat="false" ht="15" hidden="false" customHeight="false" outlineLevel="0" collapsed="false">
      <c r="A11" s="44" t="s">
        <v>730</v>
      </c>
      <c r="B11" s="47" t="n">
        <v>2022</v>
      </c>
      <c r="C11" s="44" t="s">
        <v>720</v>
      </c>
      <c r="D11" s="47" t="n">
        <v>1305</v>
      </c>
      <c r="E11" s="48" t="s">
        <v>718</v>
      </c>
      <c r="F11" s="47" t="n">
        <v>1015</v>
      </c>
      <c r="G11" s="48" t="s">
        <v>718</v>
      </c>
      <c r="H11" s="47" t="n">
        <v>650</v>
      </c>
      <c r="I11" s="48" t="s">
        <v>718</v>
      </c>
      <c r="J11" s="47" t="n">
        <v>48</v>
      </c>
      <c r="K11" s="48" t="s">
        <v>718</v>
      </c>
      <c r="L11" s="47" t="n">
        <v>50</v>
      </c>
      <c r="M11" s="48" t="s">
        <v>718</v>
      </c>
      <c r="N11" s="47" t="n">
        <v>-18</v>
      </c>
      <c r="O11" s="48" t="s">
        <v>718</v>
      </c>
    </row>
    <row r="12" customFormat="false" ht="15" hidden="false" customHeight="false" outlineLevel="0" collapsed="false">
      <c r="A12" s="43" t="s">
        <v>731</v>
      </c>
      <c r="B12" s="45" t="n">
        <v>2022</v>
      </c>
      <c r="C12" s="43" t="s">
        <v>722</v>
      </c>
      <c r="D12" s="45" t="n">
        <v>1450</v>
      </c>
      <c r="E12" s="48" t="s">
        <v>718</v>
      </c>
      <c r="F12" s="45" t="n">
        <v>1055</v>
      </c>
      <c r="G12" s="48" t="s">
        <v>718</v>
      </c>
      <c r="H12" s="45" t="n">
        <v>725</v>
      </c>
      <c r="I12" s="48" t="s">
        <v>718</v>
      </c>
      <c r="J12" s="45" t="n">
        <v>54</v>
      </c>
      <c r="K12" s="48" t="s">
        <v>718</v>
      </c>
      <c r="L12" s="45" t="n">
        <v>50</v>
      </c>
      <c r="M12" s="48" t="s">
        <v>718</v>
      </c>
      <c r="N12" s="45" t="n">
        <v>-14</v>
      </c>
      <c r="O12" s="48" t="s">
        <v>718</v>
      </c>
    </row>
    <row r="13" customFormat="false" ht="15" hidden="false" customHeight="false" outlineLevel="0" collapsed="false">
      <c r="A13" s="44" t="s">
        <v>732</v>
      </c>
      <c r="B13" s="47" t="n">
        <v>2022</v>
      </c>
      <c r="C13" s="44" t="s">
        <v>724</v>
      </c>
      <c r="D13" s="47" t="n">
        <v>1715</v>
      </c>
      <c r="E13" s="48" t="s">
        <v>718</v>
      </c>
      <c r="F13" s="47" t="n">
        <v>1130</v>
      </c>
      <c r="G13" s="48" t="s">
        <v>718</v>
      </c>
      <c r="H13" s="47" t="n">
        <v>855</v>
      </c>
      <c r="I13" s="48" t="s">
        <v>718</v>
      </c>
      <c r="J13" s="47" t="n">
        <v>65</v>
      </c>
      <c r="K13" s="48" t="s">
        <v>718</v>
      </c>
      <c r="L13" s="47" t="n">
        <v>50</v>
      </c>
      <c r="M13" s="48" t="s">
        <v>718</v>
      </c>
      <c r="N13" s="47" t="n">
        <v>-10</v>
      </c>
      <c r="O13" s="48" t="s">
        <v>718</v>
      </c>
    </row>
    <row r="14" customFormat="false" ht="15" hidden="false" customHeight="false" outlineLevel="0" collapsed="false">
      <c r="A14" s="43" t="s">
        <v>733</v>
      </c>
      <c r="B14" s="45" t="n">
        <v>2023</v>
      </c>
      <c r="C14" s="43" t="s">
        <v>717</v>
      </c>
      <c r="D14" s="45" t="n">
        <v>1685</v>
      </c>
      <c r="E14" s="48" t="s">
        <v>718</v>
      </c>
      <c r="F14" s="45" t="n">
        <v>995</v>
      </c>
      <c r="G14" s="48" t="s">
        <v>718</v>
      </c>
      <c r="H14" s="45" t="n">
        <v>915</v>
      </c>
      <c r="I14" s="48" t="s">
        <v>718</v>
      </c>
      <c r="J14" s="45" t="n">
        <v>75</v>
      </c>
      <c r="K14" s="48" t="s">
        <v>718</v>
      </c>
      <c r="L14" s="45" t="n">
        <v>46</v>
      </c>
      <c r="M14" s="48" t="s">
        <v>718</v>
      </c>
      <c r="N14" s="45" t="n">
        <v>9</v>
      </c>
      <c r="O14" s="48" t="s">
        <v>718</v>
      </c>
    </row>
    <row r="15" customFormat="false" ht="15" hidden="false" customHeight="false" outlineLevel="0" collapsed="false">
      <c r="A15" s="44" t="s">
        <v>734</v>
      </c>
      <c r="B15" s="47" t="n">
        <v>2023</v>
      </c>
      <c r="C15" s="44" t="s">
        <v>720</v>
      </c>
      <c r="D15" s="47" t="n">
        <v>1870</v>
      </c>
      <c r="E15" s="48" t="s">
        <v>718</v>
      </c>
      <c r="F15" s="47" t="n">
        <v>1030</v>
      </c>
      <c r="G15" s="48" t="s">
        <v>718</v>
      </c>
      <c r="H15" s="47" t="n">
        <v>1015</v>
      </c>
      <c r="I15" s="48" t="s">
        <v>718</v>
      </c>
      <c r="J15" s="47" t="n">
        <v>85</v>
      </c>
      <c r="K15" s="48" t="s">
        <v>718</v>
      </c>
      <c r="L15" s="47" t="n">
        <v>46</v>
      </c>
      <c r="M15" s="48" t="s">
        <v>718</v>
      </c>
      <c r="N15" s="47" t="n">
        <v>29</v>
      </c>
      <c r="O15" s="48" t="s">
        <v>718</v>
      </c>
    </row>
    <row r="16" customFormat="false" ht="15" hidden="false" customHeight="false" outlineLevel="0" collapsed="false">
      <c r="A16" s="43" t="s">
        <v>735</v>
      </c>
      <c r="B16" s="45" t="n">
        <v>2023</v>
      </c>
      <c r="C16" s="43" t="s">
        <v>722</v>
      </c>
      <c r="D16" s="45" t="n">
        <v>2105</v>
      </c>
      <c r="E16" s="48" t="s">
        <v>718</v>
      </c>
      <c r="F16" s="45" t="n">
        <v>1070</v>
      </c>
      <c r="G16" s="48" t="s">
        <v>718</v>
      </c>
      <c r="H16" s="45" t="n">
        <v>1145</v>
      </c>
      <c r="I16" s="48" t="s">
        <v>718</v>
      </c>
      <c r="J16" s="45" t="n">
        <v>96</v>
      </c>
      <c r="K16" s="48" t="s">
        <v>718</v>
      </c>
      <c r="L16" s="45" t="n">
        <v>46</v>
      </c>
      <c r="M16" s="48" t="s">
        <v>718</v>
      </c>
      <c r="N16" s="45" t="n">
        <v>58</v>
      </c>
      <c r="O16" s="48" t="s">
        <v>718</v>
      </c>
    </row>
    <row r="17" customFormat="false" ht="15" hidden="false" customHeight="false" outlineLevel="0" collapsed="false">
      <c r="A17" s="44" t="s">
        <v>736</v>
      </c>
      <c r="B17" s="47" t="n">
        <v>2023</v>
      </c>
      <c r="C17" s="44" t="s">
        <v>724</v>
      </c>
      <c r="D17" s="47" t="n">
        <v>2680</v>
      </c>
      <c r="E17" s="48" t="s">
        <v>718</v>
      </c>
      <c r="F17" s="47" t="n">
        <v>1145</v>
      </c>
      <c r="G17" s="48" t="s">
        <v>718</v>
      </c>
      <c r="H17" s="47" t="n">
        <v>1450</v>
      </c>
      <c r="I17" s="48" t="s">
        <v>718</v>
      </c>
      <c r="J17" s="47" t="n">
        <v>123</v>
      </c>
      <c r="K17" s="48" t="s">
        <v>718</v>
      </c>
      <c r="L17" s="47" t="n">
        <v>46</v>
      </c>
      <c r="M17" s="48" t="s">
        <v>718</v>
      </c>
      <c r="N17" s="47" t="n">
        <v>136</v>
      </c>
      <c r="O17" s="48" t="s">
        <v>718</v>
      </c>
    </row>
    <row r="18" customFormat="false" ht="15" hidden="false" customHeight="false" outlineLevel="0" collapsed="false">
      <c r="A18" s="43" t="s">
        <v>737</v>
      </c>
      <c r="B18" s="45" t="n">
        <v>2024</v>
      </c>
      <c r="C18" s="43" t="s">
        <v>717</v>
      </c>
      <c r="D18" s="45" t="n">
        <v>2425</v>
      </c>
      <c r="E18" s="48" t="s">
        <v>718</v>
      </c>
      <c r="F18" s="45" t="n">
        <v>890</v>
      </c>
      <c r="G18" s="48" t="s">
        <v>718</v>
      </c>
      <c r="H18" s="45" t="n">
        <v>1335</v>
      </c>
      <c r="I18" s="48" t="s">
        <v>718</v>
      </c>
      <c r="J18" s="45" t="n">
        <v>148</v>
      </c>
      <c r="K18" s="48" t="s">
        <v>718</v>
      </c>
      <c r="L18" s="45" t="n">
        <v>40</v>
      </c>
      <c r="M18" s="48" t="s">
        <v>718</v>
      </c>
      <c r="N18" s="45" t="n">
        <v>72</v>
      </c>
      <c r="O18" s="48" t="s">
        <v>718</v>
      </c>
    </row>
    <row r="19" customFormat="false" ht="15" hidden="false" customHeight="false" outlineLevel="0" collapsed="false">
      <c r="A19" s="44" t="s">
        <v>738</v>
      </c>
      <c r="B19" s="47" t="n">
        <v>2024</v>
      </c>
      <c r="C19" s="44" t="s">
        <v>720</v>
      </c>
      <c r="D19" s="47" t="n">
        <v>2735</v>
      </c>
      <c r="E19" s="48" t="s">
        <v>718</v>
      </c>
      <c r="F19" s="47" t="n">
        <v>925</v>
      </c>
      <c r="G19" s="48" t="s">
        <v>718</v>
      </c>
      <c r="H19" s="47" t="n">
        <v>1485</v>
      </c>
      <c r="I19" s="48" t="s">
        <v>718</v>
      </c>
      <c r="J19" s="47" t="n">
        <v>170</v>
      </c>
      <c r="K19" s="48" t="s">
        <v>718</v>
      </c>
      <c r="L19" s="47" t="n">
        <v>40</v>
      </c>
      <c r="M19" s="48" t="s">
        <v>718</v>
      </c>
      <c r="N19" s="47" t="n">
        <v>120</v>
      </c>
      <c r="O19" s="48" t="s">
        <v>718</v>
      </c>
    </row>
    <row r="20" customFormat="false" ht="15" hidden="false" customHeight="false" outlineLevel="0" collapsed="false">
      <c r="A20" s="43" t="s">
        <v>739</v>
      </c>
      <c r="B20" s="45" t="n">
        <v>2024</v>
      </c>
      <c r="C20" s="43" t="s">
        <v>722</v>
      </c>
      <c r="D20" s="45" t="n">
        <v>3050</v>
      </c>
      <c r="E20" s="48" t="s">
        <v>718</v>
      </c>
      <c r="F20" s="45" t="n">
        <v>950</v>
      </c>
      <c r="G20" s="48" t="s">
        <v>718</v>
      </c>
      <c r="H20" s="45" t="n">
        <v>1640</v>
      </c>
      <c r="I20" s="48" t="s">
        <v>718</v>
      </c>
      <c r="J20" s="45" t="n">
        <v>195</v>
      </c>
      <c r="K20" s="48" t="s">
        <v>718</v>
      </c>
      <c r="L20" s="45" t="n">
        <v>40</v>
      </c>
      <c r="M20" s="48" t="s">
        <v>718</v>
      </c>
      <c r="N20" s="45" t="n">
        <v>180</v>
      </c>
      <c r="O20" s="48" t="s">
        <v>718</v>
      </c>
    </row>
    <row r="21" customFormat="false" ht="15" hidden="false" customHeight="false" outlineLevel="0" collapsed="false">
      <c r="A21" s="44" t="s">
        <v>740</v>
      </c>
      <c r="B21" s="47" t="n">
        <v>2024</v>
      </c>
      <c r="C21" s="44" t="s">
        <v>724</v>
      </c>
      <c r="D21" s="47" t="n">
        <v>3795</v>
      </c>
      <c r="E21" s="48" t="s">
        <v>718</v>
      </c>
      <c r="F21" s="47" t="n">
        <v>975</v>
      </c>
      <c r="G21" s="48" t="s">
        <v>718</v>
      </c>
      <c r="H21" s="47" t="n">
        <v>2025</v>
      </c>
      <c r="I21" s="48" t="s">
        <v>718</v>
      </c>
      <c r="J21" s="47" t="n">
        <v>242</v>
      </c>
      <c r="K21" s="48" t="s">
        <v>718</v>
      </c>
      <c r="L21" s="47" t="n">
        <v>40</v>
      </c>
      <c r="M21" s="48" t="s">
        <v>718</v>
      </c>
      <c r="N21" s="47" t="n">
        <v>383</v>
      </c>
      <c r="O21" s="48" t="s">
        <v>718</v>
      </c>
    </row>
    <row r="22" customFormat="false" ht="15" hidden="false" customHeight="false" outlineLevel="0" collapsed="false">
      <c r="A22" s="43" t="s">
        <v>741</v>
      </c>
      <c r="B22" s="45" t="n">
        <v>2025</v>
      </c>
      <c r="C22" s="43" t="s">
        <v>717</v>
      </c>
      <c r="D22" s="45" t="n">
        <v>2845</v>
      </c>
      <c r="E22" s="48" t="s">
        <v>718</v>
      </c>
      <c r="F22" s="45" t="n">
        <v>985</v>
      </c>
      <c r="G22" s="48" t="s">
        <v>718</v>
      </c>
      <c r="H22" s="45" t="n">
        <v>1335</v>
      </c>
      <c r="I22" s="48" t="s">
        <v>718</v>
      </c>
      <c r="J22" s="45" t="n">
        <v>90</v>
      </c>
      <c r="K22" s="46" t="s">
        <v>686</v>
      </c>
      <c r="L22" s="45" t="n">
        <v>38</v>
      </c>
      <c r="M22" s="48" t="s">
        <v>718</v>
      </c>
      <c r="N22" s="45" t="n">
        <v>102</v>
      </c>
      <c r="O22" s="48" t="s">
        <v>718</v>
      </c>
    </row>
    <row r="23" customFormat="false" ht="15" hidden="false" customHeight="false" outlineLevel="0" collapsed="false">
      <c r="A23" s="44" t="s">
        <v>742</v>
      </c>
      <c r="B23" s="47" t="n">
        <v>2025</v>
      </c>
      <c r="C23" s="44" t="s">
        <v>720</v>
      </c>
      <c r="D23" s="47" t="n">
        <v>3170</v>
      </c>
      <c r="E23" s="48" t="s">
        <v>718</v>
      </c>
      <c r="F23" s="47" t="n">
        <v>1015</v>
      </c>
      <c r="G23" s="48" t="s">
        <v>718</v>
      </c>
      <c r="H23" s="47" t="n">
        <v>1485</v>
      </c>
      <c r="I23" s="48" t="s">
        <v>718</v>
      </c>
      <c r="J23" s="47" t="n">
        <v>100</v>
      </c>
      <c r="K23" s="46" t="s">
        <v>686</v>
      </c>
      <c r="L23" s="47" t="n">
        <v>38</v>
      </c>
      <c r="M23" s="48" t="s">
        <v>718</v>
      </c>
      <c r="N23" s="47" t="n">
        <v>97</v>
      </c>
      <c r="O23" s="48" t="s">
        <v>718</v>
      </c>
    </row>
    <row r="24" customFormat="false" ht="15" hidden="false" customHeight="false" outlineLevel="0" collapsed="false">
      <c r="A24" s="43" t="s">
        <v>743</v>
      </c>
      <c r="B24" s="45" t="n">
        <v>2025</v>
      </c>
      <c r="C24" s="43" t="s">
        <v>722</v>
      </c>
      <c r="D24" s="45" t="n">
        <v>3275</v>
      </c>
      <c r="E24" s="49" t="s">
        <v>744</v>
      </c>
      <c r="F24" s="45" t="n">
        <v>1005</v>
      </c>
      <c r="G24" s="49" t="s">
        <v>744</v>
      </c>
      <c r="H24" s="45" t="n">
        <v>1525</v>
      </c>
      <c r="I24" s="49" t="s">
        <v>744</v>
      </c>
      <c r="J24" s="45" t="n">
        <v>105</v>
      </c>
      <c r="K24" s="49" t="s">
        <v>744</v>
      </c>
      <c r="L24" s="45" t="n">
        <v>36</v>
      </c>
      <c r="M24" s="49" t="s">
        <v>744</v>
      </c>
      <c r="N24" s="45" t="n">
        <v>329</v>
      </c>
      <c r="O24" s="49" t="s">
        <v>744</v>
      </c>
    </row>
    <row r="25" customFormat="false" ht="15" hidden="false" customHeight="false" outlineLevel="0" collapsed="false">
      <c r="A25" s="44" t="s">
        <v>745</v>
      </c>
      <c r="B25" s="47" t="n">
        <v>2025</v>
      </c>
      <c r="C25" s="44" t="s">
        <v>724</v>
      </c>
      <c r="D25" s="47" t="n">
        <v>3545</v>
      </c>
      <c r="E25" s="49" t="s">
        <v>744</v>
      </c>
      <c r="F25" s="47" t="n">
        <v>1015</v>
      </c>
      <c r="G25" s="49" t="s">
        <v>744</v>
      </c>
      <c r="H25" s="47" t="n">
        <v>1655</v>
      </c>
      <c r="I25" s="49" t="s">
        <v>744</v>
      </c>
      <c r="J25" s="47" t="n">
        <v>115</v>
      </c>
      <c r="K25" s="49" t="s">
        <v>744</v>
      </c>
      <c r="L25" s="47" t="n">
        <v>36</v>
      </c>
      <c r="M25" s="49" t="s">
        <v>744</v>
      </c>
      <c r="N25" s="47" t="n">
        <v>459</v>
      </c>
      <c r="O25" s="49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7" min="6" style="0" width="21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1" min="10" style="0" width="21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23.85" hidden="false" customHeight="false" outlineLevel="0" collapsed="false">
      <c r="A1" s="42" t="s">
        <v>662</v>
      </c>
      <c r="B1" s="42" t="s">
        <v>663</v>
      </c>
      <c r="C1" s="42" t="s">
        <v>767</v>
      </c>
      <c r="D1" s="42" t="s">
        <v>768</v>
      </c>
      <c r="E1" s="42" t="s">
        <v>769</v>
      </c>
      <c r="F1" s="42" t="s">
        <v>770</v>
      </c>
      <c r="G1" s="42" t="s">
        <v>771</v>
      </c>
      <c r="H1" s="42" t="s">
        <v>772</v>
      </c>
      <c r="I1" s="42" t="s">
        <v>753</v>
      </c>
      <c r="J1" s="42" t="s">
        <v>773</v>
      </c>
      <c r="K1" s="42" t="s">
        <v>774</v>
      </c>
      <c r="L1" s="42" t="s">
        <v>775</v>
      </c>
      <c r="M1" s="42" t="s">
        <v>776</v>
      </c>
      <c r="N1" s="42" t="s">
        <v>777</v>
      </c>
      <c r="O1" s="42" t="s">
        <v>778</v>
      </c>
      <c r="P1" s="42" t="s">
        <v>779</v>
      </c>
    </row>
    <row r="2" customFormat="false" ht="15" hidden="false" customHeight="false" outlineLevel="0" collapsed="false">
      <c r="A2" s="43" t="s">
        <v>684</v>
      </c>
      <c r="B2" s="45" t="n">
        <v>2020</v>
      </c>
      <c r="C2" s="45" t="n">
        <v>24.1</v>
      </c>
      <c r="D2" s="43"/>
      <c r="E2" s="45" t="n">
        <v>11.4</v>
      </c>
      <c r="F2" s="43"/>
      <c r="G2" s="45" t="n">
        <v>47.3</v>
      </c>
      <c r="H2" s="45" t="n">
        <v>12.8</v>
      </c>
      <c r="I2" s="43"/>
      <c r="J2" s="45" t="n">
        <v>53.1</v>
      </c>
      <c r="K2" s="45" t="n">
        <v>3.6</v>
      </c>
      <c r="L2" s="45" t="n">
        <v>675</v>
      </c>
      <c r="M2" s="45" t="n">
        <v>87</v>
      </c>
      <c r="N2" s="45" t="n">
        <v>6050</v>
      </c>
      <c r="O2" s="45" t="n">
        <v>22.3</v>
      </c>
      <c r="P2" s="45" t="n">
        <v>58.5</v>
      </c>
    </row>
    <row r="3" customFormat="false" ht="15" hidden="false" customHeight="false" outlineLevel="0" collapsed="false">
      <c r="A3" s="44" t="s">
        <v>687</v>
      </c>
      <c r="B3" s="47" t="n">
        <v>2021</v>
      </c>
      <c r="C3" s="47" t="n">
        <v>25.7</v>
      </c>
      <c r="D3" s="47" t="n">
        <v>6.6</v>
      </c>
      <c r="E3" s="47" t="n">
        <v>13.5</v>
      </c>
      <c r="F3" s="47" t="n">
        <v>18.4</v>
      </c>
      <c r="G3" s="47" t="n">
        <v>52.5</v>
      </c>
      <c r="H3" s="47" t="n">
        <v>14.6</v>
      </c>
      <c r="I3" s="47" t="n">
        <v>14.1</v>
      </c>
      <c r="J3" s="47" t="n">
        <v>56.8</v>
      </c>
      <c r="K3" s="47" t="n">
        <v>4.8</v>
      </c>
      <c r="L3" s="47" t="n">
        <v>665</v>
      </c>
      <c r="M3" s="47" t="n">
        <v>93</v>
      </c>
      <c r="N3" s="47" t="n">
        <v>6580</v>
      </c>
      <c r="O3" s="47" t="n">
        <v>29.2</v>
      </c>
      <c r="P3" s="47" t="n">
        <v>76.3</v>
      </c>
    </row>
    <row r="4" customFormat="false" ht="15" hidden="false" customHeight="false" outlineLevel="0" collapsed="false">
      <c r="A4" s="43" t="s">
        <v>688</v>
      </c>
      <c r="B4" s="45" t="n">
        <v>2022</v>
      </c>
      <c r="C4" s="45" t="n">
        <v>26.5</v>
      </c>
      <c r="D4" s="45" t="n">
        <v>3.1</v>
      </c>
      <c r="E4" s="45" t="n">
        <v>15</v>
      </c>
      <c r="F4" s="45" t="n">
        <v>11.1</v>
      </c>
      <c r="G4" s="45" t="n">
        <v>56.6</v>
      </c>
      <c r="H4" s="45" t="n">
        <v>15.3</v>
      </c>
      <c r="I4" s="45" t="n">
        <v>4.8</v>
      </c>
      <c r="J4" s="45" t="n">
        <v>57.7</v>
      </c>
      <c r="K4" s="45" t="n">
        <v>6.1</v>
      </c>
      <c r="L4" s="45" t="n">
        <v>610</v>
      </c>
      <c r="M4" s="45" t="n">
        <v>96</v>
      </c>
      <c r="N4" s="45" t="n">
        <v>7120</v>
      </c>
      <c r="O4" s="45" t="n">
        <v>40.8</v>
      </c>
      <c r="P4" s="45" t="n">
        <v>99.2</v>
      </c>
    </row>
    <row r="5" customFormat="false" ht="15" hidden="false" customHeight="false" outlineLevel="0" collapsed="false">
      <c r="A5" s="44" t="s">
        <v>689</v>
      </c>
      <c r="B5" s="47" t="n">
        <v>2023</v>
      </c>
      <c r="C5" s="47" t="n">
        <v>27.2</v>
      </c>
      <c r="D5" s="47" t="n">
        <v>2.6</v>
      </c>
      <c r="E5" s="47" t="n">
        <v>16</v>
      </c>
      <c r="F5" s="47" t="n">
        <v>6.7</v>
      </c>
      <c r="G5" s="47" t="n">
        <v>58.8</v>
      </c>
      <c r="H5" s="47" t="n">
        <v>15.7</v>
      </c>
      <c r="I5" s="47" t="n">
        <v>2.6</v>
      </c>
      <c r="J5" s="47" t="n">
        <v>57.7</v>
      </c>
      <c r="K5" s="47" t="n">
        <v>7.9</v>
      </c>
      <c r="L5" s="47" t="n">
        <v>580</v>
      </c>
      <c r="M5" s="47" t="n">
        <v>98</v>
      </c>
      <c r="N5" s="47" t="n">
        <v>7650</v>
      </c>
      <c r="O5" s="47" t="n">
        <v>54.8</v>
      </c>
      <c r="P5" s="47" t="n">
        <v>125</v>
      </c>
    </row>
    <row r="6" customFormat="false" ht="15" hidden="false" customHeight="false" outlineLevel="0" collapsed="false">
      <c r="A6" s="43" t="s">
        <v>690</v>
      </c>
      <c r="B6" s="45" t="n">
        <v>2024</v>
      </c>
      <c r="C6" s="45" t="n">
        <v>28.5</v>
      </c>
      <c r="D6" s="45" t="n">
        <v>4.8</v>
      </c>
      <c r="E6" s="45" t="n">
        <v>17.5</v>
      </c>
      <c r="F6" s="45" t="n">
        <v>9.4</v>
      </c>
      <c r="G6" s="45" t="n">
        <v>61.4</v>
      </c>
      <c r="H6" s="45" t="n">
        <v>17.2</v>
      </c>
      <c r="I6" s="45" t="n">
        <v>9.6</v>
      </c>
      <c r="J6" s="45" t="n">
        <v>60.4</v>
      </c>
      <c r="K6" s="45" t="n">
        <v>9.8</v>
      </c>
      <c r="L6" s="45" t="n">
        <v>545</v>
      </c>
      <c r="M6" s="45" t="n">
        <v>99</v>
      </c>
      <c r="N6" s="45" t="n">
        <v>8170</v>
      </c>
      <c r="O6" s="45" t="n">
        <v>69.8</v>
      </c>
      <c r="P6" s="45" t="n">
        <v>171.2</v>
      </c>
    </row>
    <row r="7" customFormat="false" ht="15" hidden="false" customHeight="false" outlineLevel="0" collapsed="false">
      <c r="A7" s="44" t="s">
        <v>691</v>
      </c>
      <c r="B7" s="47" t="n">
        <v>2025</v>
      </c>
      <c r="C7" s="47" t="n">
        <v>31.2</v>
      </c>
      <c r="D7" s="47" t="n">
        <v>9.5</v>
      </c>
      <c r="E7" s="47" t="n">
        <v>19.9</v>
      </c>
      <c r="F7" s="47" t="n">
        <v>13.7</v>
      </c>
      <c r="G7" s="47" t="n">
        <v>63.8</v>
      </c>
      <c r="H7" s="47" t="n">
        <v>19.3</v>
      </c>
      <c r="I7" s="47" t="n">
        <v>12.2</v>
      </c>
      <c r="J7" s="47" t="n">
        <v>61.9</v>
      </c>
      <c r="K7" s="47" t="n">
        <v>14.5</v>
      </c>
      <c r="L7" s="47" t="n">
        <v>605</v>
      </c>
      <c r="M7" s="47" t="n">
        <v>99.5</v>
      </c>
      <c r="N7" s="47" t="n">
        <v>8650</v>
      </c>
      <c r="O7" s="47" t="n">
        <v>66.9</v>
      </c>
      <c r="P7" s="47" t="n">
        <v>177.7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9"/>
    <col collapsed="false" customWidth="true" hidden="false" outlineLevel="0" max="7" min="7" style="0" width="6"/>
    <col collapsed="false" customWidth="true" hidden="false" outlineLevel="0" max="8" min="8" style="0" width="20"/>
    <col collapsed="false" customWidth="true" hidden="false" outlineLevel="0" max="9" min="9" style="0" width="6"/>
    <col collapsed="false" customWidth="true" hidden="false" outlineLevel="0" max="10" min="10" style="0" width="22"/>
    <col collapsed="false" customWidth="true" hidden="false" outlineLevel="0" max="11" min="11" style="0" width="6"/>
    <col collapsed="false" customWidth="true" hidden="false" outlineLevel="0" max="12" min="12" style="0" width="19"/>
    <col collapsed="false" customWidth="true" hidden="false" outlineLevel="0" max="13" min="13" style="0" width="6"/>
    <col collapsed="false" customWidth="true" hidden="false" outlineLevel="0" max="14" min="14" style="0" width="16"/>
    <col collapsed="false" customWidth="true" hidden="false" outlineLevel="0" max="15" min="15" style="0" width="6"/>
    <col collapsed="false" customWidth="true" hidden="false" outlineLevel="0" max="16" min="16" style="0" width="14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</cols>
  <sheetData>
    <row r="1" customFormat="false" ht="46.25" hidden="false" customHeight="false" outlineLevel="0" collapsed="false">
      <c r="A1" s="42" t="s">
        <v>662</v>
      </c>
      <c r="B1" s="42" t="s">
        <v>663</v>
      </c>
      <c r="C1" s="42" t="s">
        <v>709</v>
      </c>
      <c r="D1" s="42" t="s">
        <v>767</v>
      </c>
      <c r="E1" s="42" t="s">
        <v>780</v>
      </c>
      <c r="F1" s="42" t="s">
        <v>769</v>
      </c>
      <c r="G1" s="42" t="s">
        <v>781</v>
      </c>
      <c r="H1" s="42" t="s">
        <v>772</v>
      </c>
      <c r="I1" s="42" t="s">
        <v>782</v>
      </c>
      <c r="J1" s="42" t="s">
        <v>783</v>
      </c>
      <c r="K1" s="42" t="s">
        <v>784</v>
      </c>
      <c r="L1" s="42" t="s">
        <v>785</v>
      </c>
      <c r="M1" s="42" t="s">
        <v>786</v>
      </c>
      <c r="N1" s="42" t="s">
        <v>776</v>
      </c>
      <c r="O1" s="42" t="s">
        <v>787</v>
      </c>
      <c r="P1" s="42" t="s">
        <v>777</v>
      </c>
      <c r="Q1" s="42" t="s">
        <v>788</v>
      </c>
      <c r="R1" s="42" t="s">
        <v>789</v>
      </c>
      <c r="S1" s="42" t="s">
        <v>790</v>
      </c>
    </row>
    <row r="2" customFormat="false" ht="15" hidden="false" customHeight="false" outlineLevel="0" collapsed="false">
      <c r="A2" s="43" t="s">
        <v>716</v>
      </c>
      <c r="B2" s="45" t="n">
        <v>2020</v>
      </c>
      <c r="C2" s="43" t="s">
        <v>717</v>
      </c>
      <c r="D2" s="45" t="n">
        <v>22.6</v>
      </c>
      <c r="E2" s="48" t="s">
        <v>718</v>
      </c>
      <c r="F2" s="45" t="n">
        <v>9.8</v>
      </c>
      <c r="G2" s="48" t="s">
        <v>718</v>
      </c>
      <c r="H2" s="45" t="n">
        <v>11.2</v>
      </c>
      <c r="I2" s="48" t="s">
        <v>718</v>
      </c>
      <c r="J2" s="45" t="n">
        <v>3.2</v>
      </c>
      <c r="K2" s="48" t="s">
        <v>718</v>
      </c>
      <c r="L2" s="45" t="n">
        <v>165</v>
      </c>
      <c r="M2" s="48" t="s">
        <v>718</v>
      </c>
      <c r="N2" s="45" t="n">
        <v>82.5</v>
      </c>
      <c r="O2" s="48" t="s">
        <v>718</v>
      </c>
      <c r="P2" s="45" t="n">
        <v>5650</v>
      </c>
      <c r="Q2" s="48" t="s">
        <v>718</v>
      </c>
      <c r="R2" s="45" t="n">
        <v>21.4</v>
      </c>
      <c r="S2" s="48" t="s">
        <v>718</v>
      </c>
    </row>
    <row r="3" customFormat="false" ht="15" hidden="false" customHeight="false" outlineLevel="0" collapsed="false">
      <c r="A3" s="44" t="s">
        <v>719</v>
      </c>
      <c r="B3" s="47" t="n">
        <v>2020</v>
      </c>
      <c r="C3" s="44" t="s">
        <v>720</v>
      </c>
      <c r="D3" s="47" t="n">
        <v>23.1</v>
      </c>
      <c r="E3" s="48" t="s">
        <v>718</v>
      </c>
      <c r="F3" s="47" t="n">
        <v>10.4</v>
      </c>
      <c r="G3" s="48" t="s">
        <v>718</v>
      </c>
      <c r="H3" s="47" t="n">
        <v>11.9</v>
      </c>
      <c r="I3" s="48" t="s">
        <v>718</v>
      </c>
      <c r="J3" s="47" t="n">
        <v>3.4</v>
      </c>
      <c r="K3" s="48" t="s">
        <v>718</v>
      </c>
      <c r="L3" s="47" t="n">
        <v>168</v>
      </c>
      <c r="M3" s="48" t="s">
        <v>718</v>
      </c>
      <c r="N3" s="47" t="n">
        <v>84</v>
      </c>
      <c r="O3" s="48" t="s">
        <v>718</v>
      </c>
      <c r="P3" s="47" t="n">
        <v>5780</v>
      </c>
      <c r="Q3" s="48" t="s">
        <v>718</v>
      </c>
      <c r="R3" s="47" t="n">
        <v>22</v>
      </c>
      <c r="S3" s="48" t="s">
        <v>718</v>
      </c>
    </row>
    <row r="4" customFormat="false" ht="15" hidden="false" customHeight="false" outlineLevel="0" collapsed="false">
      <c r="A4" s="43" t="s">
        <v>721</v>
      </c>
      <c r="B4" s="45" t="n">
        <v>2020</v>
      </c>
      <c r="C4" s="43" t="s">
        <v>722</v>
      </c>
      <c r="D4" s="45" t="n">
        <v>23.8</v>
      </c>
      <c r="E4" s="48" t="s">
        <v>718</v>
      </c>
      <c r="F4" s="45" t="n">
        <v>11</v>
      </c>
      <c r="G4" s="48" t="s">
        <v>718</v>
      </c>
      <c r="H4" s="45" t="n">
        <v>12.5</v>
      </c>
      <c r="I4" s="48" t="s">
        <v>718</v>
      </c>
      <c r="J4" s="45" t="n">
        <v>3.7</v>
      </c>
      <c r="K4" s="48" t="s">
        <v>718</v>
      </c>
      <c r="L4" s="45" t="n">
        <v>170</v>
      </c>
      <c r="M4" s="48" t="s">
        <v>718</v>
      </c>
      <c r="N4" s="45" t="n">
        <v>85.5</v>
      </c>
      <c r="O4" s="48" t="s">
        <v>718</v>
      </c>
      <c r="P4" s="45" t="n">
        <v>5910</v>
      </c>
      <c r="Q4" s="48" t="s">
        <v>718</v>
      </c>
      <c r="R4" s="45" t="n">
        <v>22.9</v>
      </c>
      <c r="S4" s="48" t="s">
        <v>718</v>
      </c>
    </row>
    <row r="5" customFormat="false" ht="15" hidden="false" customHeight="false" outlineLevel="0" collapsed="false">
      <c r="A5" s="44" t="s">
        <v>723</v>
      </c>
      <c r="B5" s="47" t="n">
        <v>2020</v>
      </c>
      <c r="C5" s="44" t="s">
        <v>724</v>
      </c>
      <c r="D5" s="47" t="n">
        <v>24.1</v>
      </c>
      <c r="E5" s="48" t="s">
        <v>718</v>
      </c>
      <c r="F5" s="47" t="n">
        <v>11.4</v>
      </c>
      <c r="G5" s="48" t="s">
        <v>718</v>
      </c>
      <c r="H5" s="47" t="n">
        <v>12.8</v>
      </c>
      <c r="I5" s="48" t="s">
        <v>718</v>
      </c>
      <c r="J5" s="47" t="n">
        <v>4</v>
      </c>
      <c r="K5" s="48" t="s">
        <v>718</v>
      </c>
      <c r="L5" s="47" t="n">
        <v>172</v>
      </c>
      <c r="M5" s="48" t="s">
        <v>718</v>
      </c>
      <c r="N5" s="47" t="n">
        <v>87</v>
      </c>
      <c r="O5" s="48" t="s">
        <v>718</v>
      </c>
      <c r="P5" s="47" t="n">
        <v>6050</v>
      </c>
      <c r="Q5" s="48" t="s">
        <v>718</v>
      </c>
      <c r="R5" s="47" t="n">
        <v>25.2</v>
      </c>
      <c r="S5" s="48" t="s">
        <v>718</v>
      </c>
    </row>
    <row r="6" customFormat="false" ht="15" hidden="false" customHeight="false" outlineLevel="0" collapsed="false">
      <c r="A6" s="43" t="s">
        <v>725</v>
      </c>
      <c r="B6" s="45" t="n">
        <v>2021</v>
      </c>
      <c r="C6" s="43" t="s">
        <v>717</v>
      </c>
      <c r="D6" s="45" t="n">
        <v>24.5</v>
      </c>
      <c r="E6" s="48" t="s">
        <v>718</v>
      </c>
      <c r="F6" s="45" t="n">
        <v>12</v>
      </c>
      <c r="G6" s="48" t="s">
        <v>718</v>
      </c>
      <c r="H6" s="45" t="n">
        <v>13.3</v>
      </c>
      <c r="I6" s="48" t="s">
        <v>718</v>
      </c>
      <c r="J6" s="45" t="n">
        <v>4.3</v>
      </c>
      <c r="K6" s="48" t="s">
        <v>718</v>
      </c>
      <c r="L6" s="45" t="n">
        <v>170</v>
      </c>
      <c r="M6" s="48" t="s">
        <v>718</v>
      </c>
      <c r="N6" s="45" t="n">
        <v>88.5</v>
      </c>
      <c r="O6" s="48" t="s">
        <v>718</v>
      </c>
      <c r="P6" s="45" t="n">
        <v>6180</v>
      </c>
      <c r="Q6" s="48" t="s">
        <v>718</v>
      </c>
      <c r="R6" s="45" t="n">
        <v>27</v>
      </c>
      <c r="S6" s="48" t="s">
        <v>718</v>
      </c>
    </row>
    <row r="7" customFormat="false" ht="15" hidden="false" customHeight="false" outlineLevel="0" collapsed="false">
      <c r="A7" s="44" t="s">
        <v>726</v>
      </c>
      <c r="B7" s="47" t="n">
        <v>2021</v>
      </c>
      <c r="C7" s="44" t="s">
        <v>720</v>
      </c>
      <c r="D7" s="47" t="n">
        <v>24.9</v>
      </c>
      <c r="E7" s="48" t="s">
        <v>718</v>
      </c>
      <c r="F7" s="47" t="n">
        <v>12.5</v>
      </c>
      <c r="G7" s="48" t="s">
        <v>718</v>
      </c>
      <c r="H7" s="47" t="n">
        <v>13.8</v>
      </c>
      <c r="I7" s="48" t="s">
        <v>718</v>
      </c>
      <c r="J7" s="47" t="n">
        <v>4.6</v>
      </c>
      <c r="K7" s="48" t="s">
        <v>718</v>
      </c>
      <c r="L7" s="47" t="n">
        <v>168</v>
      </c>
      <c r="M7" s="48" t="s">
        <v>718</v>
      </c>
      <c r="N7" s="47" t="n">
        <v>90</v>
      </c>
      <c r="O7" s="48" t="s">
        <v>718</v>
      </c>
      <c r="P7" s="47" t="n">
        <v>6310</v>
      </c>
      <c r="Q7" s="48" t="s">
        <v>718</v>
      </c>
      <c r="R7" s="47" t="n">
        <v>28.8</v>
      </c>
      <c r="S7" s="48" t="s">
        <v>718</v>
      </c>
    </row>
    <row r="8" customFormat="false" ht="15" hidden="false" customHeight="false" outlineLevel="0" collapsed="false">
      <c r="A8" s="43" t="s">
        <v>727</v>
      </c>
      <c r="B8" s="45" t="n">
        <v>2021</v>
      </c>
      <c r="C8" s="43" t="s">
        <v>722</v>
      </c>
      <c r="D8" s="45" t="n">
        <v>25.3</v>
      </c>
      <c r="E8" s="48" t="s">
        <v>718</v>
      </c>
      <c r="F8" s="45" t="n">
        <v>13</v>
      </c>
      <c r="G8" s="48" t="s">
        <v>718</v>
      </c>
      <c r="H8" s="45" t="n">
        <v>14.2</v>
      </c>
      <c r="I8" s="48" t="s">
        <v>718</v>
      </c>
      <c r="J8" s="45" t="n">
        <v>4.9</v>
      </c>
      <c r="K8" s="48" t="s">
        <v>718</v>
      </c>
      <c r="L8" s="45" t="n">
        <v>165</v>
      </c>
      <c r="M8" s="48" t="s">
        <v>718</v>
      </c>
      <c r="N8" s="45" t="n">
        <v>91.5</v>
      </c>
      <c r="O8" s="48" t="s">
        <v>718</v>
      </c>
      <c r="P8" s="45" t="n">
        <v>6440</v>
      </c>
      <c r="Q8" s="48" t="s">
        <v>718</v>
      </c>
      <c r="R8" s="45" t="n">
        <v>30.2</v>
      </c>
      <c r="S8" s="48" t="s">
        <v>718</v>
      </c>
    </row>
    <row r="9" customFormat="false" ht="15" hidden="false" customHeight="false" outlineLevel="0" collapsed="false">
      <c r="A9" s="44" t="s">
        <v>728</v>
      </c>
      <c r="B9" s="47" t="n">
        <v>2021</v>
      </c>
      <c r="C9" s="44" t="s">
        <v>724</v>
      </c>
      <c r="D9" s="47" t="n">
        <v>25.7</v>
      </c>
      <c r="E9" s="48" t="s">
        <v>718</v>
      </c>
      <c r="F9" s="47" t="n">
        <v>13.5</v>
      </c>
      <c r="G9" s="48" t="s">
        <v>718</v>
      </c>
      <c r="H9" s="47" t="n">
        <v>14.6</v>
      </c>
      <c r="I9" s="48" t="s">
        <v>718</v>
      </c>
      <c r="J9" s="47" t="n">
        <v>5.3</v>
      </c>
      <c r="K9" s="48" t="s">
        <v>718</v>
      </c>
      <c r="L9" s="47" t="n">
        <v>163</v>
      </c>
      <c r="M9" s="48" t="s">
        <v>718</v>
      </c>
      <c r="N9" s="47" t="n">
        <v>93</v>
      </c>
      <c r="O9" s="48" t="s">
        <v>718</v>
      </c>
      <c r="P9" s="47" t="n">
        <v>6580</v>
      </c>
      <c r="Q9" s="48" t="s">
        <v>718</v>
      </c>
      <c r="R9" s="47" t="n">
        <v>33.4</v>
      </c>
      <c r="S9" s="48" t="s">
        <v>718</v>
      </c>
    </row>
    <row r="10" customFormat="false" ht="15" hidden="false" customHeight="false" outlineLevel="0" collapsed="false">
      <c r="A10" s="43" t="s">
        <v>729</v>
      </c>
      <c r="B10" s="45" t="n">
        <v>2022</v>
      </c>
      <c r="C10" s="43" t="s">
        <v>717</v>
      </c>
      <c r="D10" s="45" t="n">
        <v>26</v>
      </c>
      <c r="E10" s="48" t="s">
        <v>718</v>
      </c>
      <c r="F10" s="45" t="n">
        <v>14</v>
      </c>
      <c r="G10" s="48" t="s">
        <v>718</v>
      </c>
      <c r="H10" s="45" t="n">
        <v>14.9</v>
      </c>
      <c r="I10" s="48" t="s">
        <v>718</v>
      </c>
      <c r="J10" s="45" t="n">
        <v>5.6</v>
      </c>
      <c r="K10" s="48" t="s">
        <v>718</v>
      </c>
      <c r="L10" s="45" t="n">
        <v>160</v>
      </c>
      <c r="M10" s="48" t="s">
        <v>718</v>
      </c>
      <c r="N10" s="45" t="n">
        <v>94</v>
      </c>
      <c r="O10" s="48" t="s">
        <v>718</v>
      </c>
      <c r="P10" s="45" t="n">
        <v>6720</v>
      </c>
      <c r="Q10" s="48" t="s">
        <v>718</v>
      </c>
      <c r="R10" s="45" t="n">
        <v>36.2</v>
      </c>
      <c r="S10" s="48" t="s">
        <v>718</v>
      </c>
    </row>
    <row r="11" customFormat="false" ht="15" hidden="false" customHeight="false" outlineLevel="0" collapsed="false">
      <c r="A11" s="44" t="s">
        <v>730</v>
      </c>
      <c r="B11" s="47" t="n">
        <v>2022</v>
      </c>
      <c r="C11" s="44" t="s">
        <v>720</v>
      </c>
      <c r="D11" s="47" t="n">
        <v>26.2</v>
      </c>
      <c r="E11" s="48" t="s">
        <v>718</v>
      </c>
      <c r="F11" s="47" t="n">
        <v>14.4</v>
      </c>
      <c r="G11" s="48" t="s">
        <v>718</v>
      </c>
      <c r="H11" s="47" t="n">
        <v>15.1</v>
      </c>
      <c r="I11" s="48" t="s">
        <v>718</v>
      </c>
      <c r="J11" s="47" t="n">
        <v>5.9</v>
      </c>
      <c r="K11" s="48" t="s">
        <v>718</v>
      </c>
      <c r="L11" s="47" t="n">
        <v>158</v>
      </c>
      <c r="M11" s="48" t="s">
        <v>718</v>
      </c>
      <c r="N11" s="47" t="n">
        <v>94.8</v>
      </c>
      <c r="O11" s="48" t="s">
        <v>718</v>
      </c>
      <c r="P11" s="47" t="n">
        <v>6850</v>
      </c>
      <c r="Q11" s="48" t="s">
        <v>718</v>
      </c>
      <c r="R11" s="47" t="n">
        <v>38.8</v>
      </c>
      <c r="S11" s="48" t="s">
        <v>718</v>
      </c>
    </row>
    <row r="12" customFormat="false" ht="15" hidden="false" customHeight="false" outlineLevel="0" collapsed="false">
      <c r="A12" s="43" t="s">
        <v>731</v>
      </c>
      <c r="B12" s="45" t="n">
        <v>2022</v>
      </c>
      <c r="C12" s="43" t="s">
        <v>722</v>
      </c>
      <c r="D12" s="45" t="n">
        <v>26.4</v>
      </c>
      <c r="E12" s="48" t="s">
        <v>718</v>
      </c>
      <c r="F12" s="45" t="n">
        <v>14.7</v>
      </c>
      <c r="G12" s="48" t="s">
        <v>718</v>
      </c>
      <c r="H12" s="45" t="n">
        <v>15.2</v>
      </c>
      <c r="I12" s="48" t="s">
        <v>718</v>
      </c>
      <c r="J12" s="45" t="n">
        <v>6.2</v>
      </c>
      <c r="K12" s="48" t="s">
        <v>718</v>
      </c>
      <c r="L12" s="45" t="n">
        <v>155</v>
      </c>
      <c r="M12" s="48" t="s">
        <v>718</v>
      </c>
      <c r="N12" s="45" t="n">
        <v>95.5</v>
      </c>
      <c r="O12" s="48" t="s">
        <v>718</v>
      </c>
      <c r="P12" s="45" t="n">
        <v>6980</v>
      </c>
      <c r="Q12" s="48" t="s">
        <v>718</v>
      </c>
      <c r="R12" s="45" t="n">
        <v>41.9</v>
      </c>
      <c r="S12" s="48" t="s">
        <v>718</v>
      </c>
    </row>
    <row r="13" customFormat="false" ht="15" hidden="false" customHeight="false" outlineLevel="0" collapsed="false">
      <c r="A13" s="44" t="s">
        <v>732</v>
      </c>
      <c r="B13" s="47" t="n">
        <v>2022</v>
      </c>
      <c r="C13" s="44" t="s">
        <v>724</v>
      </c>
      <c r="D13" s="47" t="n">
        <v>26.5</v>
      </c>
      <c r="E13" s="48" t="s">
        <v>718</v>
      </c>
      <c r="F13" s="47" t="n">
        <v>15</v>
      </c>
      <c r="G13" s="48" t="s">
        <v>718</v>
      </c>
      <c r="H13" s="47" t="n">
        <v>15.3</v>
      </c>
      <c r="I13" s="48" t="s">
        <v>718</v>
      </c>
      <c r="J13" s="47" t="n">
        <v>6.6</v>
      </c>
      <c r="K13" s="48" t="s">
        <v>718</v>
      </c>
      <c r="L13" s="47" t="n">
        <v>153</v>
      </c>
      <c r="M13" s="48" t="s">
        <v>718</v>
      </c>
      <c r="N13" s="47" t="n">
        <v>96</v>
      </c>
      <c r="O13" s="48" t="s">
        <v>718</v>
      </c>
      <c r="P13" s="47" t="n">
        <v>7120</v>
      </c>
      <c r="Q13" s="48" t="s">
        <v>718</v>
      </c>
      <c r="R13" s="47" t="n">
        <v>47.9</v>
      </c>
      <c r="S13" s="48" t="s">
        <v>718</v>
      </c>
    </row>
    <row r="14" customFormat="false" ht="15" hidden="false" customHeight="false" outlineLevel="0" collapsed="false">
      <c r="A14" s="43" t="s">
        <v>733</v>
      </c>
      <c r="B14" s="45" t="n">
        <v>2023</v>
      </c>
      <c r="C14" s="43" t="s">
        <v>717</v>
      </c>
      <c r="D14" s="45" t="n">
        <v>26.7</v>
      </c>
      <c r="E14" s="48" t="s">
        <v>718</v>
      </c>
      <c r="F14" s="45" t="n">
        <v>15.2</v>
      </c>
      <c r="G14" s="48" t="s">
        <v>718</v>
      </c>
      <c r="H14" s="45" t="n">
        <v>15.4</v>
      </c>
      <c r="I14" s="48" t="s">
        <v>718</v>
      </c>
      <c r="J14" s="45" t="n">
        <v>7.1</v>
      </c>
      <c r="K14" s="48" t="s">
        <v>718</v>
      </c>
      <c r="L14" s="45" t="n">
        <v>150</v>
      </c>
      <c r="M14" s="48" t="s">
        <v>718</v>
      </c>
      <c r="N14" s="45" t="n">
        <v>96.5</v>
      </c>
      <c r="O14" s="48" t="s">
        <v>718</v>
      </c>
      <c r="P14" s="45" t="n">
        <v>7260</v>
      </c>
      <c r="Q14" s="48" t="s">
        <v>718</v>
      </c>
      <c r="R14" s="45" t="n">
        <v>46.5</v>
      </c>
      <c r="S14" s="48" t="s">
        <v>718</v>
      </c>
    </row>
    <row r="15" customFormat="false" ht="15" hidden="false" customHeight="false" outlineLevel="0" collapsed="false">
      <c r="A15" s="44" t="s">
        <v>734</v>
      </c>
      <c r="B15" s="47" t="n">
        <v>2023</v>
      </c>
      <c r="C15" s="44" t="s">
        <v>720</v>
      </c>
      <c r="D15" s="47" t="n">
        <v>26.9</v>
      </c>
      <c r="E15" s="48" t="s">
        <v>718</v>
      </c>
      <c r="F15" s="47" t="n">
        <v>15.4</v>
      </c>
      <c r="G15" s="48" t="s">
        <v>718</v>
      </c>
      <c r="H15" s="47" t="n">
        <v>15.5</v>
      </c>
      <c r="I15" s="48" t="s">
        <v>718</v>
      </c>
      <c r="J15" s="47" t="n">
        <v>7.6</v>
      </c>
      <c r="K15" s="48" t="s">
        <v>718</v>
      </c>
      <c r="L15" s="47" t="n">
        <v>148</v>
      </c>
      <c r="M15" s="48" t="s">
        <v>718</v>
      </c>
      <c r="N15" s="47" t="n">
        <v>97</v>
      </c>
      <c r="O15" s="48" t="s">
        <v>718</v>
      </c>
      <c r="P15" s="47" t="n">
        <v>7390</v>
      </c>
      <c r="Q15" s="48" t="s">
        <v>718</v>
      </c>
      <c r="R15" s="47" t="n">
        <v>50.5</v>
      </c>
      <c r="S15" s="48" t="s">
        <v>718</v>
      </c>
    </row>
    <row r="16" customFormat="false" ht="15" hidden="false" customHeight="false" outlineLevel="0" collapsed="false">
      <c r="A16" s="43" t="s">
        <v>735</v>
      </c>
      <c r="B16" s="45" t="n">
        <v>2023</v>
      </c>
      <c r="C16" s="43" t="s">
        <v>722</v>
      </c>
      <c r="D16" s="45" t="n">
        <v>27.1</v>
      </c>
      <c r="E16" s="48" t="s">
        <v>718</v>
      </c>
      <c r="F16" s="45" t="n">
        <v>15.7</v>
      </c>
      <c r="G16" s="48" t="s">
        <v>718</v>
      </c>
      <c r="H16" s="45" t="n">
        <v>15.6</v>
      </c>
      <c r="I16" s="48" t="s">
        <v>718</v>
      </c>
      <c r="J16" s="45" t="n">
        <v>8.2</v>
      </c>
      <c r="K16" s="48" t="s">
        <v>718</v>
      </c>
      <c r="L16" s="45" t="n">
        <v>145</v>
      </c>
      <c r="M16" s="48" t="s">
        <v>718</v>
      </c>
      <c r="N16" s="45" t="n">
        <v>97.5</v>
      </c>
      <c r="O16" s="48" t="s">
        <v>718</v>
      </c>
      <c r="P16" s="45" t="n">
        <v>7510</v>
      </c>
      <c r="Q16" s="48" t="s">
        <v>718</v>
      </c>
      <c r="R16" s="45" t="n">
        <v>55.6</v>
      </c>
      <c r="S16" s="48" t="s">
        <v>718</v>
      </c>
    </row>
    <row r="17" customFormat="false" ht="15" hidden="false" customHeight="false" outlineLevel="0" collapsed="false">
      <c r="A17" s="44" t="s">
        <v>736</v>
      </c>
      <c r="B17" s="47" t="n">
        <v>2023</v>
      </c>
      <c r="C17" s="44" t="s">
        <v>724</v>
      </c>
      <c r="D17" s="47" t="n">
        <v>27.2</v>
      </c>
      <c r="E17" s="48" t="s">
        <v>718</v>
      </c>
      <c r="F17" s="47" t="n">
        <v>16</v>
      </c>
      <c r="G17" s="48" t="s">
        <v>718</v>
      </c>
      <c r="H17" s="47" t="n">
        <v>15.7</v>
      </c>
      <c r="I17" s="48" t="s">
        <v>718</v>
      </c>
      <c r="J17" s="47" t="n">
        <v>8.9</v>
      </c>
      <c r="K17" s="48" t="s">
        <v>718</v>
      </c>
      <c r="L17" s="47" t="n">
        <v>143</v>
      </c>
      <c r="M17" s="48" t="s">
        <v>718</v>
      </c>
      <c r="N17" s="47" t="n">
        <v>98</v>
      </c>
      <c r="O17" s="48" t="s">
        <v>718</v>
      </c>
      <c r="P17" s="47" t="n">
        <v>7650</v>
      </c>
      <c r="Q17" s="48" t="s">
        <v>718</v>
      </c>
      <c r="R17" s="47" t="n">
        <v>68.4</v>
      </c>
      <c r="S17" s="48" t="s">
        <v>718</v>
      </c>
    </row>
    <row r="18" customFormat="false" ht="15" hidden="false" customHeight="false" outlineLevel="0" collapsed="false">
      <c r="A18" s="43" t="s">
        <v>737</v>
      </c>
      <c r="B18" s="45" t="n">
        <v>2024</v>
      </c>
      <c r="C18" s="43" t="s">
        <v>717</v>
      </c>
      <c r="D18" s="45" t="n">
        <v>27.5</v>
      </c>
      <c r="E18" s="48" t="s">
        <v>718</v>
      </c>
      <c r="F18" s="45" t="n">
        <v>16.3</v>
      </c>
      <c r="G18" s="48" t="s">
        <v>718</v>
      </c>
      <c r="H18" s="45" t="n">
        <v>16</v>
      </c>
      <c r="I18" s="48" t="s">
        <v>718</v>
      </c>
      <c r="J18" s="45" t="n">
        <v>9.2</v>
      </c>
      <c r="K18" s="48" t="s">
        <v>718</v>
      </c>
      <c r="L18" s="45" t="n">
        <v>140</v>
      </c>
      <c r="M18" s="48" t="s">
        <v>718</v>
      </c>
      <c r="N18" s="45" t="n">
        <v>98.3</v>
      </c>
      <c r="O18" s="48" t="s">
        <v>718</v>
      </c>
      <c r="P18" s="45" t="n">
        <v>7780</v>
      </c>
      <c r="Q18" s="48" t="s">
        <v>718</v>
      </c>
      <c r="R18" s="45" t="n">
        <v>59.5</v>
      </c>
      <c r="S18" s="48" t="s">
        <v>718</v>
      </c>
    </row>
    <row r="19" customFormat="false" ht="15" hidden="false" customHeight="false" outlineLevel="0" collapsed="false">
      <c r="A19" s="44" t="s">
        <v>738</v>
      </c>
      <c r="B19" s="47" t="n">
        <v>2024</v>
      </c>
      <c r="C19" s="44" t="s">
        <v>720</v>
      </c>
      <c r="D19" s="47" t="n">
        <v>27.8</v>
      </c>
      <c r="E19" s="48" t="s">
        <v>718</v>
      </c>
      <c r="F19" s="47" t="n">
        <v>16.6</v>
      </c>
      <c r="G19" s="48" t="s">
        <v>718</v>
      </c>
      <c r="H19" s="47" t="n">
        <v>16.4</v>
      </c>
      <c r="I19" s="48" t="s">
        <v>718</v>
      </c>
      <c r="J19" s="47" t="n">
        <v>9.6</v>
      </c>
      <c r="K19" s="48" t="s">
        <v>718</v>
      </c>
      <c r="L19" s="47" t="n">
        <v>138</v>
      </c>
      <c r="M19" s="48" t="s">
        <v>718</v>
      </c>
      <c r="N19" s="47" t="n">
        <v>98.6</v>
      </c>
      <c r="O19" s="48" t="s">
        <v>718</v>
      </c>
      <c r="P19" s="47" t="n">
        <v>7900</v>
      </c>
      <c r="Q19" s="48" t="s">
        <v>718</v>
      </c>
      <c r="R19" s="47" t="n">
        <v>65.7</v>
      </c>
      <c r="S19" s="48" t="s">
        <v>718</v>
      </c>
    </row>
    <row r="20" customFormat="false" ht="15" hidden="false" customHeight="false" outlineLevel="0" collapsed="false">
      <c r="A20" s="43" t="s">
        <v>739</v>
      </c>
      <c r="B20" s="45" t="n">
        <v>2024</v>
      </c>
      <c r="C20" s="43" t="s">
        <v>722</v>
      </c>
      <c r="D20" s="45" t="n">
        <v>28.2</v>
      </c>
      <c r="E20" s="48" t="s">
        <v>718</v>
      </c>
      <c r="F20" s="45" t="n">
        <v>17</v>
      </c>
      <c r="G20" s="48" t="s">
        <v>718</v>
      </c>
      <c r="H20" s="45" t="n">
        <v>16.8</v>
      </c>
      <c r="I20" s="48" t="s">
        <v>718</v>
      </c>
      <c r="J20" s="45" t="n">
        <v>10</v>
      </c>
      <c r="K20" s="48" t="s">
        <v>718</v>
      </c>
      <c r="L20" s="45" t="n">
        <v>135</v>
      </c>
      <c r="M20" s="48" t="s">
        <v>718</v>
      </c>
      <c r="N20" s="45" t="n">
        <v>98.9</v>
      </c>
      <c r="O20" s="48" t="s">
        <v>718</v>
      </c>
      <c r="P20" s="45" t="n">
        <v>8030</v>
      </c>
      <c r="Q20" s="48" t="s">
        <v>718</v>
      </c>
      <c r="R20" s="45" t="n">
        <v>71.6</v>
      </c>
      <c r="S20" s="48" t="s">
        <v>718</v>
      </c>
    </row>
    <row r="21" customFormat="false" ht="15" hidden="false" customHeight="false" outlineLevel="0" collapsed="false">
      <c r="A21" s="44" t="s">
        <v>740</v>
      </c>
      <c r="B21" s="47" t="n">
        <v>2024</v>
      </c>
      <c r="C21" s="44" t="s">
        <v>724</v>
      </c>
      <c r="D21" s="47" t="n">
        <v>28.5</v>
      </c>
      <c r="E21" s="46" t="s">
        <v>686</v>
      </c>
      <c r="F21" s="47" t="n">
        <v>17.5</v>
      </c>
      <c r="G21" s="46" t="s">
        <v>686</v>
      </c>
      <c r="H21" s="47" t="n">
        <v>17.2</v>
      </c>
      <c r="I21" s="46" t="s">
        <v>686</v>
      </c>
      <c r="J21" s="47" t="n">
        <v>10.5</v>
      </c>
      <c r="K21" s="48" t="s">
        <v>718</v>
      </c>
      <c r="L21" s="47" t="n">
        <v>138</v>
      </c>
      <c r="M21" s="48" t="s">
        <v>718</v>
      </c>
      <c r="N21" s="47" t="n">
        <v>99</v>
      </c>
      <c r="O21" s="46" t="s">
        <v>686</v>
      </c>
      <c r="P21" s="47" t="n">
        <v>8170</v>
      </c>
      <c r="Q21" s="48" t="s">
        <v>718</v>
      </c>
      <c r="R21" s="47" t="n">
        <v>87.3</v>
      </c>
      <c r="S21" s="48" t="s">
        <v>718</v>
      </c>
    </row>
    <row r="22" customFormat="false" ht="15" hidden="false" customHeight="false" outlineLevel="0" collapsed="false">
      <c r="A22" s="43" t="s">
        <v>741</v>
      </c>
      <c r="B22" s="45" t="n">
        <v>2025</v>
      </c>
      <c r="C22" s="43" t="s">
        <v>717</v>
      </c>
      <c r="D22" s="45" t="n">
        <v>29.4</v>
      </c>
      <c r="E22" s="48" t="s">
        <v>718</v>
      </c>
      <c r="F22" s="45" t="n">
        <v>17.8</v>
      </c>
      <c r="G22" s="48" t="s">
        <v>718</v>
      </c>
      <c r="H22" s="45" t="n">
        <v>17.4</v>
      </c>
      <c r="I22" s="48" t="s">
        <v>718</v>
      </c>
      <c r="J22" s="45" t="n">
        <v>12.5</v>
      </c>
      <c r="K22" s="48" t="s">
        <v>718</v>
      </c>
      <c r="L22" s="45" t="n">
        <v>150</v>
      </c>
      <c r="M22" s="48" t="s">
        <v>718</v>
      </c>
      <c r="N22" s="45" t="n">
        <v>99.1</v>
      </c>
      <c r="O22" s="48" t="s">
        <v>718</v>
      </c>
      <c r="P22" s="45" t="n">
        <v>8290</v>
      </c>
      <c r="Q22" s="48" t="s">
        <v>718</v>
      </c>
      <c r="R22" s="45" t="n">
        <v>61.2</v>
      </c>
      <c r="S22" s="48" t="s">
        <v>718</v>
      </c>
    </row>
    <row r="23" customFormat="false" ht="15" hidden="false" customHeight="false" outlineLevel="0" collapsed="false">
      <c r="A23" s="44" t="s">
        <v>742</v>
      </c>
      <c r="B23" s="47" t="n">
        <v>2025</v>
      </c>
      <c r="C23" s="44" t="s">
        <v>720</v>
      </c>
      <c r="D23" s="47" t="n">
        <v>30.2</v>
      </c>
      <c r="E23" s="46" t="s">
        <v>686</v>
      </c>
      <c r="F23" s="47" t="n">
        <v>18.2</v>
      </c>
      <c r="G23" s="46" t="s">
        <v>686</v>
      </c>
      <c r="H23" s="47" t="n">
        <v>17.7</v>
      </c>
      <c r="I23" s="46" t="s">
        <v>686</v>
      </c>
      <c r="J23" s="47" t="n">
        <v>14</v>
      </c>
      <c r="K23" s="46" t="s">
        <v>686</v>
      </c>
      <c r="L23" s="47" t="n">
        <v>160</v>
      </c>
      <c r="M23" s="46" t="s">
        <v>686</v>
      </c>
      <c r="N23" s="47" t="n">
        <v>99.3</v>
      </c>
      <c r="O23" s="46" t="s">
        <v>686</v>
      </c>
      <c r="P23" s="47" t="n">
        <v>8420</v>
      </c>
      <c r="Q23" s="48" t="s">
        <v>718</v>
      </c>
      <c r="R23" s="47" t="n">
        <v>65.2</v>
      </c>
      <c r="S23" s="48" t="s">
        <v>718</v>
      </c>
    </row>
    <row r="24" customFormat="false" ht="15" hidden="false" customHeight="false" outlineLevel="0" collapsed="false">
      <c r="A24" s="43" t="s">
        <v>743</v>
      </c>
      <c r="B24" s="45" t="n">
        <v>2025</v>
      </c>
      <c r="C24" s="43" t="s">
        <v>722</v>
      </c>
      <c r="D24" s="45" t="n">
        <v>30.7</v>
      </c>
      <c r="E24" s="49" t="s">
        <v>744</v>
      </c>
      <c r="F24" s="45" t="n">
        <v>19</v>
      </c>
      <c r="G24" s="49" t="s">
        <v>744</v>
      </c>
      <c r="H24" s="45" t="n">
        <v>18.5</v>
      </c>
      <c r="I24" s="49" t="s">
        <v>744</v>
      </c>
      <c r="J24" s="45" t="n">
        <v>14.5</v>
      </c>
      <c r="K24" s="49" t="s">
        <v>744</v>
      </c>
      <c r="L24" s="45" t="n">
        <v>155</v>
      </c>
      <c r="M24" s="49" t="s">
        <v>744</v>
      </c>
      <c r="N24" s="45" t="n">
        <v>99.4</v>
      </c>
      <c r="O24" s="49" t="s">
        <v>744</v>
      </c>
      <c r="P24" s="45" t="n">
        <v>8540</v>
      </c>
      <c r="Q24" s="49" t="s">
        <v>744</v>
      </c>
      <c r="R24" s="45" t="n">
        <v>68.2</v>
      </c>
      <c r="S24" s="49" t="s">
        <v>744</v>
      </c>
    </row>
    <row r="25" customFormat="false" ht="15" hidden="false" customHeight="false" outlineLevel="0" collapsed="false">
      <c r="A25" s="44" t="s">
        <v>745</v>
      </c>
      <c r="B25" s="47" t="n">
        <v>2025</v>
      </c>
      <c r="C25" s="44" t="s">
        <v>724</v>
      </c>
      <c r="D25" s="47" t="n">
        <v>31.2</v>
      </c>
      <c r="E25" s="46" t="s">
        <v>686</v>
      </c>
      <c r="F25" s="47" t="n">
        <v>19.9</v>
      </c>
      <c r="G25" s="46" t="s">
        <v>686</v>
      </c>
      <c r="H25" s="47" t="n">
        <v>19.3</v>
      </c>
      <c r="I25" s="46" t="s">
        <v>686</v>
      </c>
      <c r="J25" s="47" t="n">
        <v>15</v>
      </c>
      <c r="K25" s="46" t="s">
        <v>686</v>
      </c>
      <c r="L25" s="47" t="n">
        <v>158</v>
      </c>
      <c r="M25" s="46" t="s">
        <v>686</v>
      </c>
      <c r="N25" s="47" t="n">
        <v>99.5</v>
      </c>
      <c r="O25" s="46" t="s">
        <v>686</v>
      </c>
      <c r="P25" s="47" t="n">
        <v>8650</v>
      </c>
      <c r="Q25" s="49" t="s">
        <v>744</v>
      </c>
      <c r="R25" s="47" t="n">
        <v>72.9</v>
      </c>
      <c r="S25" s="49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22"/>
    <col collapsed="false" customWidth="true" hidden="false" outlineLevel="0" max="10" min="10" style="0" width="6"/>
    <col collapsed="false" customWidth="true" hidden="false" outlineLevel="0" max="11" min="11" style="0" width="22"/>
    <col collapsed="false" customWidth="true" hidden="false" outlineLevel="0" max="12" min="12" style="0" width="6"/>
    <col collapsed="false" customWidth="true" hidden="false" outlineLevel="0" max="13" min="13" style="0" width="21"/>
    <col collapsed="false" customWidth="true" hidden="false" outlineLevel="0" max="14" min="14" style="0" width="6"/>
    <col collapsed="false" customWidth="true" hidden="false" outlineLevel="0" max="15" min="15" style="0" width="21"/>
    <col collapsed="false" customWidth="true" hidden="false" outlineLevel="0" max="16" min="16" style="0" width="6"/>
    <col collapsed="false" customWidth="true" hidden="false" outlineLevel="0" max="17" min="17" style="0" width="17"/>
    <col collapsed="false" customWidth="true" hidden="false" outlineLevel="0" max="18" min="18" style="0" width="6"/>
    <col collapsed="false" customWidth="true" hidden="false" outlineLevel="0" max="19" min="19" style="0" width="18"/>
    <col collapsed="false" customWidth="true" hidden="false" outlineLevel="0" max="20" min="20" style="0" width="6"/>
    <col collapsed="false" customWidth="true" hidden="false" outlineLevel="0" max="21" min="21" style="0" width="18"/>
    <col collapsed="false" customWidth="true" hidden="false" outlineLevel="0" max="22" min="22" style="0" width="6"/>
    <col collapsed="false" customWidth="true" hidden="false" outlineLevel="0" max="23" min="23" style="0" width="16"/>
    <col collapsed="false" customWidth="true" hidden="false" outlineLevel="0" max="24" min="24" style="0" width="6"/>
  </cols>
  <sheetData>
    <row r="1" customFormat="false" ht="35.05" hidden="false" customHeight="false" outlineLevel="0" collapsed="false">
      <c r="A1" s="42" t="s">
        <v>662</v>
      </c>
      <c r="B1" s="42" t="s">
        <v>663</v>
      </c>
      <c r="C1" s="42" t="s">
        <v>709</v>
      </c>
      <c r="D1" s="42" t="s">
        <v>664</v>
      </c>
      <c r="E1" s="42" t="s">
        <v>791</v>
      </c>
      <c r="F1" s="42" t="s">
        <v>792</v>
      </c>
      <c r="G1" s="42" t="s">
        <v>793</v>
      </c>
      <c r="H1" s="42" t="s">
        <v>794</v>
      </c>
      <c r="I1" s="42" t="s">
        <v>795</v>
      </c>
      <c r="J1" s="42" t="s">
        <v>796</v>
      </c>
      <c r="K1" s="42" t="s">
        <v>797</v>
      </c>
      <c r="L1" s="42" t="s">
        <v>798</v>
      </c>
      <c r="M1" s="42" t="s">
        <v>799</v>
      </c>
      <c r="N1" s="42" t="s">
        <v>800</v>
      </c>
      <c r="O1" s="42" t="s">
        <v>801</v>
      </c>
      <c r="P1" s="42" t="s">
        <v>802</v>
      </c>
      <c r="Q1" s="42" t="s">
        <v>803</v>
      </c>
      <c r="R1" s="42" t="s">
        <v>804</v>
      </c>
      <c r="S1" s="42" t="s">
        <v>805</v>
      </c>
      <c r="T1" s="42" t="s">
        <v>806</v>
      </c>
      <c r="U1" s="42" t="s">
        <v>807</v>
      </c>
      <c r="V1" s="42" t="s">
        <v>808</v>
      </c>
      <c r="W1" s="42" t="s">
        <v>809</v>
      </c>
      <c r="X1" s="42" t="s">
        <v>810</v>
      </c>
    </row>
    <row r="2" customFormat="false" ht="15" hidden="false" customHeight="false" outlineLevel="0" collapsed="false">
      <c r="A2" s="43" t="s">
        <v>716</v>
      </c>
      <c r="B2" s="45" t="n">
        <v>2020</v>
      </c>
      <c r="C2" s="43" t="s">
        <v>717</v>
      </c>
      <c r="D2" s="43" t="s">
        <v>709</v>
      </c>
      <c r="E2" s="45" t="n">
        <v>42</v>
      </c>
      <c r="F2" s="50" t="s">
        <v>811</v>
      </c>
      <c r="G2" s="45" t="n">
        <v>58</v>
      </c>
      <c r="H2" s="50" t="s">
        <v>811</v>
      </c>
      <c r="I2" s="45" t="n">
        <v>3.5</v>
      </c>
      <c r="J2" s="50" t="s">
        <v>811</v>
      </c>
      <c r="K2" s="45" t="n">
        <v>18</v>
      </c>
      <c r="L2" s="50" t="s">
        <v>811</v>
      </c>
      <c r="M2" s="45" t="n">
        <v>100</v>
      </c>
      <c r="N2" s="50" t="s">
        <v>811</v>
      </c>
      <c r="O2" s="45" t="n">
        <v>28</v>
      </c>
      <c r="P2" s="49" t="s">
        <v>744</v>
      </c>
      <c r="Q2" s="45" t="n">
        <v>32</v>
      </c>
      <c r="R2" s="49" t="s">
        <v>744</v>
      </c>
      <c r="S2" s="45" t="n">
        <v>5.65</v>
      </c>
      <c r="T2" s="46" t="s">
        <v>686</v>
      </c>
      <c r="U2" s="45" t="n">
        <v>7.8</v>
      </c>
      <c r="V2" s="46" t="s">
        <v>686</v>
      </c>
      <c r="W2" s="45" t="n">
        <v>16</v>
      </c>
      <c r="X2" s="46" t="s">
        <v>686</v>
      </c>
    </row>
    <row r="3" customFormat="false" ht="15" hidden="false" customHeight="false" outlineLevel="0" collapsed="false">
      <c r="A3" s="44" t="s">
        <v>723</v>
      </c>
      <c r="B3" s="47" t="n">
        <v>2020</v>
      </c>
      <c r="C3" s="44" t="s">
        <v>724</v>
      </c>
      <c r="D3" s="44" t="s">
        <v>709</v>
      </c>
      <c r="E3" s="47" t="n">
        <v>45</v>
      </c>
      <c r="F3" s="50" t="s">
        <v>811</v>
      </c>
      <c r="G3" s="47" t="n">
        <v>62</v>
      </c>
      <c r="H3" s="50" t="s">
        <v>811</v>
      </c>
      <c r="I3" s="47" t="n">
        <v>3.2</v>
      </c>
      <c r="J3" s="50" t="s">
        <v>811</v>
      </c>
      <c r="K3" s="47" t="n">
        <v>22</v>
      </c>
      <c r="L3" s="50" t="s">
        <v>811</v>
      </c>
      <c r="M3" s="47" t="n">
        <v>108</v>
      </c>
      <c r="N3" s="50" t="s">
        <v>811</v>
      </c>
      <c r="O3" s="47" t="n">
        <v>30</v>
      </c>
      <c r="P3" s="49" t="s">
        <v>744</v>
      </c>
      <c r="Q3" s="47" t="n">
        <v>34</v>
      </c>
      <c r="R3" s="49" t="s">
        <v>744</v>
      </c>
      <c r="S3" s="47" t="n">
        <v>5.8</v>
      </c>
      <c r="T3" s="46" t="s">
        <v>686</v>
      </c>
      <c r="U3" s="47" t="n">
        <v>10.4</v>
      </c>
      <c r="V3" s="46" t="s">
        <v>686</v>
      </c>
      <c r="W3" s="47" t="n">
        <v>14.5</v>
      </c>
      <c r="X3" s="46" t="s">
        <v>686</v>
      </c>
    </row>
    <row r="4" customFormat="false" ht="15" hidden="false" customHeight="false" outlineLevel="0" collapsed="false">
      <c r="A4" s="43" t="s">
        <v>726</v>
      </c>
      <c r="B4" s="45" t="n">
        <v>2021</v>
      </c>
      <c r="C4" s="43" t="s">
        <v>720</v>
      </c>
      <c r="D4" s="43" t="s">
        <v>709</v>
      </c>
      <c r="E4" s="45" t="n">
        <v>48</v>
      </c>
      <c r="F4" s="50" t="s">
        <v>811</v>
      </c>
      <c r="G4" s="45" t="n">
        <v>65</v>
      </c>
      <c r="H4" s="50" t="s">
        <v>811</v>
      </c>
      <c r="I4" s="45" t="n">
        <v>3</v>
      </c>
      <c r="J4" s="50" t="s">
        <v>811</v>
      </c>
      <c r="K4" s="45" t="n">
        <v>26</v>
      </c>
      <c r="L4" s="50" t="s">
        <v>811</v>
      </c>
      <c r="M4" s="45" t="n">
        <v>115</v>
      </c>
      <c r="N4" s="50" t="s">
        <v>811</v>
      </c>
      <c r="O4" s="45" t="n">
        <v>29</v>
      </c>
      <c r="P4" s="49" t="s">
        <v>744</v>
      </c>
      <c r="Q4" s="45" t="n">
        <v>33</v>
      </c>
      <c r="R4" s="49" t="s">
        <v>744</v>
      </c>
      <c r="S4" s="45" t="n">
        <v>5.95</v>
      </c>
      <c r="T4" s="46" t="s">
        <v>686</v>
      </c>
      <c r="U4" s="45" t="n">
        <v>7.8</v>
      </c>
      <c r="V4" s="46" t="s">
        <v>686</v>
      </c>
      <c r="W4" s="45" t="n">
        <v>13.5</v>
      </c>
      <c r="X4" s="46" t="s">
        <v>686</v>
      </c>
    </row>
    <row r="5" customFormat="false" ht="15" hidden="false" customHeight="false" outlineLevel="0" collapsed="false">
      <c r="A5" s="44" t="s">
        <v>728</v>
      </c>
      <c r="B5" s="47" t="n">
        <v>2021</v>
      </c>
      <c r="C5" s="44" t="s">
        <v>724</v>
      </c>
      <c r="D5" s="44" t="s">
        <v>709</v>
      </c>
      <c r="E5" s="47" t="n">
        <v>52</v>
      </c>
      <c r="F5" s="50" t="s">
        <v>811</v>
      </c>
      <c r="G5" s="47" t="n">
        <v>68</v>
      </c>
      <c r="H5" s="50" t="s">
        <v>811</v>
      </c>
      <c r="I5" s="47" t="n">
        <v>2.8</v>
      </c>
      <c r="J5" s="50" t="s">
        <v>811</v>
      </c>
      <c r="K5" s="47" t="n">
        <v>30</v>
      </c>
      <c r="L5" s="50" t="s">
        <v>811</v>
      </c>
      <c r="M5" s="47" t="n">
        <v>122</v>
      </c>
      <c r="N5" s="50" t="s">
        <v>811</v>
      </c>
      <c r="O5" s="47" t="n">
        <v>31</v>
      </c>
      <c r="P5" s="49" t="s">
        <v>744</v>
      </c>
      <c r="Q5" s="47" t="n">
        <v>35</v>
      </c>
      <c r="R5" s="49" t="s">
        <v>744</v>
      </c>
      <c r="S5" s="47" t="n">
        <v>6.1</v>
      </c>
      <c r="T5" s="46" t="s">
        <v>686</v>
      </c>
      <c r="U5" s="47" t="n">
        <v>12.6</v>
      </c>
      <c r="V5" s="46" t="s">
        <v>686</v>
      </c>
      <c r="W5" s="47" t="n">
        <v>14.5</v>
      </c>
      <c r="X5" s="46" t="s">
        <v>686</v>
      </c>
    </row>
    <row r="6" customFormat="false" ht="15" hidden="false" customHeight="false" outlineLevel="0" collapsed="false">
      <c r="A6" s="43" t="s">
        <v>730</v>
      </c>
      <c r="B6" s="45" t="n">
        <v>2022</v>
      </c>
      <c r="C6" s="43" t="s">
        <v>720</v>
      </c>
      <c r="D6" s="43" t="s">
        <v>709</v>
      </c>
      <c r="E6" s="45" t="n">
        <v>58</v>
      </c>
      <c r="F6" s="50" t="s">
        <v>811</v>
      </c>
      <c r="G6" s="45" t="n">
        <v>71</v>
      </c>
      <c r="H6" s="50" t="s">
        <v>811</v>
      </c>
      <c r="I6" s="45" t="n">
        <v>2.7</v>
      </c>
      <c r="J6" s="50" t="s">
        <v>811</v>
      </c>
      <c r="K6" s="45" t="n">
        <v>34</v>
      </c>
      <c r="L6" s="50" t="s">
        <v>811</v>
      </c>
      <c r="M6" s="45" t="n">
        <v>128</v>
      </c>
      <c r="N6" s="50" t="s">
        <v>811</v>
      </c>
      <c r="O6" s="45" t="n">
        <v>33</v>
      </c>
      <c r="P6" s="49" t="s">
        <v>744</v>
      </c>
      <c r="Q6" s="45" t="n">
        <v>38</v>
      </c>
      <c r="R6" s="49" t="s">
        <v>744</v>
      </c>
      <c r="S6" s="45" t="n">
        <v>8.45</v>
      </c>
      <c r="T6" s="46" t="s">
        <v>686</v>
      </c>
      <c r="U6" s="45" t="n">
        <v>29.8</v>
      </c>
      <c r="V6" s="46" t="s">
        <v>686</v>
      </c>
      <c r="W6" s="45" t="n">
        <v>19</v>
      </c>
      <c r="X6" s="46" t="s">
        <v>686</v>
      </c>
    </row>
    <row r="7" customFormat="false" ht="15" hidden="false" customHeight="false" outlineLevel="0" collapsed="false">
      <c r="A7" s="44" t="s">
        <v>732</v>
      </c>
      <c r="B7" s="47" t="n">
        <v>2022</v>
      </c>
      <c r="C7" s="44" t="s">
        <v>724</v>
      </c>
      <c r="D7" s="44" t="s">
        <v>709</v>
      </c>
      <c r="E7" s="47" t="n">
        <v>68</v>
      </c>
      <c r="F7" s="50" t="s">
        <v>811</v>
      </c>
      <c r="G7" s="47" t="n">
        <v>73</v>
      </c>
      <c r="H7" s="50" t="s">
        <v>811</v>
      </c>
      <c r="I7" s="47" t="n">
        <v>2.9</v>
      </c>
      <c r="J7" s="50" t="s">
        <v>811</v>
      </c>
      <c r="K7" s="47" t="n">
        <v>38</v>
      </c>
      <c r="L7" s="50" t="s">
        <v>811</v>
      </c>
      <c r="M7" s="47" t="n">
        <v>132</v>
      </c>
      <c r="N7" s="50" t="s">
        <v>811</v>
      </c>
      <c r="O7" s="47" t="n">
        <v>38</v>
      </c>
      <c r="P7" s="49" t="s">
        <v>744</v>
      </c>
      <c r="Q7" s="47" t="n">
        <v>42</v>
      </c>
      <c r="R7" s="49" t="s">
        <v>744</v>
      </c>
      <c r="S7" s="47" t="n">
        <v>12.85</v>
      </c>
      <c r="T7" s="46" t="s">
        <v>686</v>
      </c>
      <c r="U7" s="47" t="n">
        <v>54.1</v>
      </c>
      <c r="V7" s="46" t="s">
        <v>686</v>
      </c>
      <c r="W7" s="47" t="n">
        <v>27</v>
      </c>
      <c r="X7" s="46" t="s">
        <v>686</v>
      </c>
    </row>
    <row r="8" customFormat="false" ht="15" hidden="false" customHeight="false" outlineLevel="0" collapsed="false">
      <c r="A8" s="43" t="s">
        <v>734</v>
      </c>
      <c r="B8" s="45" t="n">
        <v>2023</v>
      </c>
      <c r="C8" s="43" t="s">
        <v>720</v>
      </c>
      <c r="D8" s="43" t="s">
        <v>709</v>
      </c>
      <c r="E8" s="45" t="n">
        <v>72</v>
      </c>
      <c r="F8" s="50" t="s">
        <v>811</v>
      </c>
      <c r="G8" s="45" t="n">
        <v>74</v>
      </c>
      <c r="H8" s="50" t="s">
        <v>811</v>
      </c>
      <c r="I8" s="45" t="n">
        <v>2.6</v>
      </c>
      <c r="J8" s="50" t="s">
        <v>811</v>
      </c>
      <c r="K8" s="45" t="n">
        <v>42</v>
      </c>
      <c r="L8" s="50" t="s">
        <v>811</v>
      </c>
      <c r="M8" s="45" t="n">
        <v>135</v>
      </c>
      <c r="N8" s="50" t="s">
        <v>811</v>
      </c>
      <c r="O8" s="45" t="n">
        <v>36</v>
      </c>
      <c r="P8" s="49" t="s">
        <v>744</v>
      </c>
      <c r="Q8" s="45" t="n">
        <v>40</v>
      </c>
      <c r="R8" s="49" t="s">
        <v>744</v>
      </c>
      <c r="S8" s="45" t="n">
        <v>11.2</v>
      </c>
      <c r="T8" s="46" t="s">
        <v>686</v>
      </c>
      <c r="U8" s="45" t="n">
        <v>42.5</v>
      </c>
      <c r="V8" s="46" t="s">
        <v>686</v>
      </c>
      <c r="W8" s="45" t="n">
        <v>29.5</v>
      </c>
      <c r="X8" s="46" t="s">
        <v>686</v>
      </c>
    </row>
    <row r="9" customFormat="false" ht="15" hidden="false" customHeight="false" outlineLevel="0" collapsed="false">
      <c r="A9" s="44" t="s">
        <v>736</v>
      </c>
      <c r="B9" s="47" t="n">
        <v>2023</v>
      </c>
      <c r="C9" s="44" t="s">
        <v>724</v>
      </c>
      <c r="D9" s="44" t="s">
        <v>709</v>
      </c>
      <c r="E9" s="47" t="n">
        <v>75</v>
      </c>
      <c r="F9" s="50" t="s">
        <v>811</v>
      </c>
      <c r="G9" s="47" t="n">
        <v>76</v>
      </c>
      <c r="H9" s="50" t="s">
        <v>811</v>
      </c>
      <c r="I9" s="47" t="n">
        <v>2.4</v>
      </c>
      <c r="J9" s="50" t="s">
        <v>811</v>
      </c>
      <c r="K9" s="47" t="n">
        <v>46</v>
      </c>
      <c r="L9" s="50" t="s">
        <v>811</v>
      </c>
      <c r="M9" s="47" t="n">
        <v>138</v>
      </c>
      <c r="N9" s="50" t="s">
        <v>811</v>
      </c>
      <c r="O9" s="47" t="n">
        <v>34</v>
      </c>
      <c r="P9" s="49" t="s">
        <v>744</v>
      </c>
      <c r="Q9" s="47" t="n">
        <v>38</v>
      </c>
      <c r="R9" s="49" t="s">
        <v>744</v>
      </c>
      <c r="S9" s="47" t="n">
        <v>11.85</v>
      </c>
      <c r="T9" s="46" t="s">
        <v>686</v>
      </c>
      <c r="U9" s="47" t="n">
        <v>23.2</v>
      </c>
      <c r="V9" s="46" t="s">
        <v>686</v>
      </c>
      <c r="W9" s="47" t="n">
        <v>30</v>
      </c>
      <c r="X9" s="46" t="s">
        <v>686</v>
      </c>
    </row>
    <row r="10" customFormat="false" ht="15" hidden="false" customHeight="false" outlineLevel="0" collapsed="false">
      <c r="A10" s="43" t="s">
        <v>738</v>
      </c>
      <c r="B10" s="45" t="n">
        <v>2024</v>
      </c>
      <c r="C10" s="43" t="s">
        <v>720</v>
      </c>
      <c r="D10" s="43" t="s">
        <v>709</v>
      </c>
      <c r="E10" s="45" t="n">
        <v>78</v>
      </c>
      <c r="F10" s="50" t="s">
        <v>811</v>
      </c>
      <c r="G10" s="45" t="n">
        <v>78</v>
      </c>
      <c r="H10" s="50" t="s">
        <v>811</v>
      </c>
      <c r="I10" s="45" t="n">
        <v>2.3</v>
      </c>
      <c r="J10" s="50" t="s">
        <v>811</v>
      </c>
      <c r="K10" s="45" t="n">
        <v>52</v>
      </c>
      <c r="L10" s="50" t="s">
        <v>811</v>
      </c>
      <c r="M10" s="45" t="n">
        <v>142</v>
      </c>
      <c r="N10" s="50" t="s">
        <v>811</v>
      </c>
      <c r="O10" s="45" t="n">
        <v>33</v>
      </c>
      <c r="P10" s="49" t="s">
        <v>744</v>
      </c>
      <c r="Q10" s="45" t="n">
        <v>36</v>
      </c>
      <c r="R10" s="49" t="s">
        <v>744</v>
      </c>
      <c r="S10" s="45" t="n">
        <v>14.65</v>
      </c>
      <c r="T10" s="46" t="s">
        <v>686</v>
      </c>
      <c r="U10" s="45" t="n">
        <v>22.8</v>
      </c>
      <c r="V10" s="46" t="s">
        <v>686</v>
      </c>
      <c r="W10" s="45" t="n">
        <v>29</v>
      </c>
      <c r="X10" s="46" t="s">
        <v>686</v>
      </c>
    </row>
    <row r="11" customFormat="false" ht="15" hidden="false" customHeight="false" outlineLevel="0" collapsed="false">
      <c r="A11" s="44" t="s">
        <v>740</v>
      </c>
      <c r="B11" s="47" t="n">
        <v>2024</v>
      </c>
      <c r="C11" s="44" t="s">
        <v>724</v>
      </c>
      <c r="D11" s="44" t="s">
        <v>709</v>
      </c>
      <c r="E11" s="47" t="n">
        <v>82</v>
      </c>
      <c r="F11" s="50" t="s">
        <v>811</v>
      </c>
      <c r="G11" s="47" t="n">
        <v>80</v>
      </c>
      <c r="H11" s="50" t="s">
        <v>811</v>
      </c>
      <c r="I11" s="47" t="n">
        <v>2.2</v>
      </c>
      <c r="J11" s="50" t="s">
        <v>811</v>
      </c>
      <c r="K11" s="47" t="n">
        <v>58</v>
      </c>
      <c r="L11" s="50" t="s">
        <v>811</v>
      </c>
      <c r="M11" s="47" t="n">
        <v>148</v>
      </c>
      <c r="N11" s="50" t="s">
        <v>811</v>
      </c>
      <c r="O11" s="47" t="n">
        <v>32</v>
      </c>
      <c r="P11" s="49" t="s">
        <v>744</v>
      </c>
      <c r="Q11" s="47" t="n">
        <v>35</v>
      </c>
      <c r="R11" s="49" t="s">
        <v>744</v>
      </c>
      <c r="S11" s="47" t="n">
        <v>14.95</v>
      </c>
      <c r="T11" s="46" t="s">
        <v>686</v>
      </c>
      <c r="U11" s="47" t="n">
        <v>23.8</v>
      </c>
      <c r="V11" s="46" t="s">
        <v>686</v>
      </c>
      <c r="W11" s="47" t="n">
        <v>27</v>
      </c>
      <c r="X11" s="46" t="s">
        <v>686</v>
      </c>
    </row>
    <row r="12" customFormat="false" ht="15" hidden="false" customHeight="false" outlineLevel="0" collapsed="false">
      <c r="A12" s="43" t="s">
        <v>741</v>
      </c>
      <c r="B12" s="45" t="n">
        <v>2025</v>
      </c>
      <c r="C12" s="43" t="s">
        <v>717</v>
      </c>
      <c r="D12" s="43" t="s">
        <v>709</v>
      </c>
      <c r="E12" s="45" t="n">
        <v>78</v>
      </c>
      <c r="F12" s="50" t="s">
        <v>811</v>
      </c>
      <c r="G12" s="45" t="n">
        <v>79</v>
      </c>
      <c r="H12" s="50" t="s">
        <v>811</v>
      </c>
      <c r="I12" s="45" t="n">
        <v>2</v>
      </c>
      <c r="J12" s="50" t="s">
        <v>811</v>
      </c>
      <c r="K12" s="45" t="n">
        <v>62</v>
      </c>
      <c r="L12" s="50" t="s">
        <v>811</v>
      </c>
      <c r="M12" s="45" t="n">
        <v>155</v>
      </c>
      <c r="N12" s="50" t="s">
        <v>811</v>
      </c>
      <c r="O12" s="45" t="n">
        <v>30</v>
      </c>
      <c r="P12" s="49" t="s">
        <v>744</v>
      </c>
      <c r="Q12" s="45" t="n">
        <v>33</v>
      </c>
      <c r="R12" s="49" t="s">
        <v>744</v>
      </c>
      <c r="S12" s="45" t="n">
        <v>14.5</v>
      </c>
      <c r="T12" s="46" t="s">
        <v>686</v>
      </c>
      <c r="U12" s="45" t="n">
        <v>23.5</v>
      </c>
      <c r="V12" s="46" t="s">
        <v>686</v>
      </c>
      <c r="W12" s="45" t="n">
        <v>27</v>
      </c>
      <c r="X12" s="46" t="s">
        <v>686</v>
      </c>
    </row>
    <row r="13" customFormat="false" ht="15" hidden="false" customHeight="false" outlineLevel="0" collapsed="false">
      <c r="A13" s="44" t="s">
        <v>742</v>
      </c>
      <c r="B13" s="47" t="n">
        <v>2025</v>
      </c>
      <c r="C13" s="44" t="s">
        <v>720</v>
      </c>
      <c r="D13" s="44" t="s">
        <v>709</v>
      </c>
      <c r="E13" s="47" t="n">
        <v>75</v>
      </c>
      <c r="F13" s="50" t="s">
        <v>811</v>
      </c>
      <c r="G13" s="47" t="n">
        <v>80</v>
      </c>
      <c r="H13" s="50" t="s">
        <v>811</v>
      </c>
      <c r="I13" s="47" t="n">
        <v>1.9</v>
      </c>
      <c r="J13" s="50" t="s">
        <v>811</v>
      </c>
      <c r="K13" s="47" t="n">
        <v>68</v>
      </c>
      <c r="L13" s="50" t="s">
        <v>811</v>
      </c>
      <c r="M13" s="47" t="n">
        <v>162</v>
      </c>
      <c r="N13" s="50" t="s">
        <v>811</v>
      </c>
      <c r="O13" s="47" t="n">
        <v>28</v>
      </c>
      <c r="P13" s="49" t="s">
        <v>744</v>
      </c>
      <c r="Q13" s="47" t="n">
        <v>31</v>
      </c>
      <c r="R13" s="49" t="s">
        <v>744</v>
      </c>
      <c r="S13" s="47" t="n">
        <v>12.2</v>
      </c>
      <c r="T13" s="46" t="s">
        <v>686</v>
      </c>
      <c r="U13" s="47" t="n">
        <v>13.7</v>
      </c>
      <c r="V13" s="46" t="s">
        <v>686</v>
      </c>
      <c r="W13" s="47" t="n">
        <v>21.5</v>
      </c>
      <c r="X13" s="46" t="s">
        <v>686</v>
      </c>
    </row>
    <row r="14" customFormat="false" ht="15" hidden="false" customHeight="false" outlineLevel="0" collapsed="false">
      <c r="A14" s="43" t="s">
        <v>743</v>
      </c>
      <c r="B14" s="45" t="n">
        <v>2025</v>
      </c>
      <c r="C14" s="43" t="s">
        <v>722</v>
      </c>
      <c r="D14" s="43" t="s">
        <v>709</v>
      </c>
      <c r="E14" s="45" t="n">
        <v>72</v>
      </c>
      <c r="F14" s="50" t="s">
        <v>811</v>
      </c>
      <c r="G14" s="45" t="n">
        <v>81</v>
      </c>
      <c r="H14" s="50" t="s">
        <v>811</v>
      </c>
      <c r="I14" s="45" t="n">
        <v>1.8</v>
      </c>
      <c r="J14" s="50" t="s">
        <v>811</v>
      </c>
      <c r="K14" s="45" t="n">
        <v>72</v>
      </c>
      <c r="L14" s="50" t="s">
        <v>811</v>
      </c>
      <c r="M14" s="45" t="n">
        <v>168</v>
      </c>
      <c r="N14" s="50" t="s">
        <v>811</v>
      </c>
      <c r="O14" s="45" t="n">
        <v>26</v>
      </c>
      <c r="P14" s="49" t="s">
        <v>744</v>
      </c>
      <c r="Q14" s="45" t="n">
        <v>29</v>
      </c>
      <c r="R14" s="49" t="s">
        <v>744</v>
      </c>
      <c r="S14" s="45" t="n">
        <v>10.85</v>
      </c>
      <c r="T14" s="46" t="s">
        <v>686</v>
      </c>
      <c r="U14" s="45" t="n">
        <v>9.2</v>
      </c>
      <c r="V14" s="46" t="s">
        <v>686</v>
      </c>
      <c r="W14" s="45" t="n">
        <v>18</v>
      </c>
      <c r="X14" s="46" t="s">
        <v>686</v>
      </c>
    </row>
    <row r="15" customFormat="false" ht="15" hidden="false" customHeight="false" outlineLevel="0" collapsed="false">
      <c r="A15" s="44" t="s">
        <v>745</v>
      </c>
      <c r="B15" s="47" t="n">
        <v>2025</v>
      </c>
      <c r="C15" s="44" t="s">
        <v>724</v>
      </c>
      <c r="D15" s="44" t="s">
        <v>709</v>
      </c>
      <c r="E15" s="47" t="n">
        <v>70</v>
      </c>
      <c r="F15" s="50" t="s">
        <v>811</v>
      </c>
      <c r="G15" s="47" t="n">
        <v>82</v>
      </c>
      <c r="H15" s="50" t="s">
        <v>811</v>
      </c>
      <c r="I15" s="47" t="n">
        <v>1.7</v>
      </c>
      <c r="J15" s="50" t="s">
        <v>811</v>
      </c>
      <c r="K15" s="47" t="n">
        <v>76</v>
      </c>
      <c r="L15" s="50" t="s">
        <v>811</v>
      </c>
      <c r="M15" s="47" t="n">
        <v>174</v>
      </c>
      <c r="N15" s="50" t="s">
        <v>811</v>
      </c>
      <c r="O15" s="47" t="n">
        <v>25</v>
      </c>
      <c r="P15" s="49" t="s">
        <v>744</v>
      </c>
      <c r="Q15" s="47" t="n">
        <v>28</v>
      </c>
      <c r="R15" s="49" t="s">
        <v>744</v>
      </c>
      <c r="S15" s="47" t="n">
        <v>8.85</v>
      </c>
      <c r="T15" s="46" t="s">
        <v>686</v>
      </c>
      <c r="U15" s="47" t="n">
        <v>5.4</v>
      </c>
      <c r="V15" s="46" t="s">
        <v>686</v>
      </c>
      <c r="W15" s="47" t="n">
        <v>16</v>
      </c>
      <c r="X15" s="46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10" min="8" style="0" width="22"/>
    <col collapsed="false" customWidth="true" hidden="false" outlineLevel="0" max="11" min="11" style="0" width="21"/>
  </cols>
  <sheetData>
    <row r="1" customFormat="false" ht="23.85" hidden="false" customHeight="false" outlineLevel="0" collapsed="false">
      <c r="A1" s="42" t="s">
        <v>662</v>
      </c>
      <c r="B1" s="42" t="s">
        <v>663</v>
      </c>
      <c r="C1" s="42" t="s">
        <v>664</v>
      </c>
      <c r="D1" s="42" t="s">
        <v>812</v>
      </c>
      <c r="E1" s="42" t="s">
        <v>807</v>
      </c>
      <c r="F1" s="42" t="s">
        <v>809</v>
      </c>
      <c r="G1" s="42" t="s">
        <v>813</v>
      </c>
      <c r="H1" s="42" t="s">
        <v>814</v>
      </c>
      <c r="I1" s="42" t="s">
        <v>815</v>
      </c>
      <c r="J1" s="42" t="s">
        <v>816</v>
      </c>
      <c r="K1" s="42" t="s">
        <v>771</v>
      </c>
    </row>
    <row r="2" customFormat="false" ht="15" hidden="false" customHeight="false" outlineLevel="0" collapsed="false">
      <c r="A2" s="43" t="s">
        <v>684</v>
      </c>
      <c r="B2" s="45" t="n">
        <v>2020</v>
      </c>
      <c r="C2" s="43" t="s">
        <v>685</v>
      </c>
      <c r="D2" s="45" t="n">
        <v>0.5</v>
      </c>
      <c r="E2" s="45" t="n">
        <v>9.9</v>
      </c>
      <c r="F2" s="45" t="n">
        <v>14.5</v>
      </c>
      <c r="G2" s="45" t="n">
        <v>5.73</v>
      </c>
      <c r="H2" s="45" t="n">
        <v>-3.5</v>
      </c>
      <c r="I2" s="45" t="n">
        <v>2.4</v>
      </c>
      <c r="J2" s="45" t="n">
        <v>134</v>
      </c>
      <c r="K2" s="45" t="n">
        <v>52</v>
      </c>
    </row>
    <row r="3" customFormat="false" ht="15" hidden="false" customHeight="false" outlineLevel="0" collapsed="false">
      <c r="A3" s="44" t="s">
        <v>687</v>
      </c>
      <c r="B3" s="47" t="n">
        <v>2021</v>
      </c>
      <c r="C3" s="44" t="s">
        <v>685</v>
      </c>
      <c r="D3" s="47" t="n">
        <v>5.4</v>
      </c>
      <c r="E3" s="47" t="n">
        <v>12.6</v>
      </c>
      <c r="F3" s="47" t="n">
        <v>14.5</v>
      </c>
      <c r="G3" s="47" t="n">
        <v>5.95</v>
      </c>
      <c r="H3" s="47" t="n">
        <v>-3.8</v>
      </c>
      <c r="I3" s="47" t="n">
        <v>2.5</v>
      </c>
      <c r="J3" s="47" t="n">
        <v>140</v>
      </c>
      <c r="K3" s="47" t="n">
        <v>58</v>
      </c>
    </row>
    <row r="4" customFormat="false" ht="15" hidden="false" customHeight="false" outlineLevel="0" collapsed="false">
      <c r="A4" s="43" t="s">
        <v>688</v>
      </c>
      <c r="B4" s="45" t="n">
        <v>2022</v>
      </c>
      <c r="C4" s="43" t="s">
        <v>685</v>
      </c>
      <c r="D4" s="45" t="n">
        <v>3.1</v>
      </c>
      <c r="E4" s="45" t="n">
        <v>54.1</v>
      </c>
      <c r="F4" s="45" t="n">
        <v>27</v>
      </c>
      <c r="G4" s="45" t="n">
        <v>8.95</v>
      </c>
      <c r="H4" s="45" t="n">
        <v>-50.4</v>
      </c>
      <c r="I4" s="45" t="n">
        <v>2.6</v>
      </c>
      <c r="J4" s="45" t="n">
        <v>143</v>
      </c>
      <c r="K4" s="45" t="n">
        <v>64</v>
      </c>
    </row>
    <row r="5" customFormat="false" ht="15" hidden="false" customHeight="false" outlineLevel="0" collapsed="false">
      <c r="A5" s="44" t="s">
        <v>689</v>
      </c>
      <c r="B5" s="47" t="n">
        <v>2023</v>
      </c>
      <c r="C5" s="44" t="s">
        <v>685</v>
      </c>
      <c r="D5" s="47" t="n">
        <v>2.9</v>
      </c>
      <c r="E5" s="47" t="n">
        <v>23.2</v>
      </c>
      <c r="F5" s="47" t="n">
        <v>30</v>
      </c>
      <c r="G5" s="47" t="n">
        <v>11.5</v>
      </c>
      <c r="H5" s="47" t="n">
        <v>-28.5</v>
      </c>
      <c r="I5" s="47" t="n">
        <v>2.8</v>
      </c>
      <c r="J5" s="47" t="n">
        <v>145</v>
      </c>
      <c r="K5" s="47" t="n">
        <v>68</v>
      </c>
    </row>
    <row r="6" customFormat="false" ht="15" hidden="false" customHeight="false" outlineLevel="0" collapsed="false">
      <c r="A6" s="43" t="s">
        <v>690</v>
      </c>
      <c r="B6" s="45" t="n">
        <v>2024</v>
      </c>
      <c r="C6" s="43" t="s">
        <v>685</v>
      </c>
      <c r="D6" s="45" t="n">
        <v>5.7</v>
      </c>
      <c r="E6" s="45" t="n">
        <v>23.8</v>
      </c>
      <c r="F6" s="45" t="n">
        <v>27</v>
      </c>
      <c r="G6" s="45" t="n">
        <v>14.8</v>
      </c>
      <c r="H6" s="45" t="n">
        <v>-28.7</v>
      </c>
      <c r="I6" s="45" t="n">
        <v>3</v>
      </c>
      <c r="J6" s="45" t="n">
        <v>148</v>
      </c>
      <c r="K6" s="45" t="n">
        <v>72</v>
      </c>
    </row>
    <row r="7" customFormat="false" ht="15" hidden="false" customHeight="false" outlineLevel="0" collapsed="false">
      <c r="A7" s="44" t="s">
        <v>691</v>
      </c>
      <c r="B7" s="47" t="n">
        <v>2025</v>
      </c>
      <c r="C7" s="44" t="s">
        <v>685</v>
      </c>
      <c r="D7" s="47" t="n">
        <v>6.5</v>
      </c>
      <c r="E7" s="47" t="n">
        <v>5.4</v>
      </c>
      <c r="F7" s="47" t="n">
        <v>16</v>
      </c>
      <c r="G7" s="47" t="n">
        <v>11.6</v>
      </c>
      <c r="H7" s="47" t="n">
        <v>21.6</v>
      </c>
      <c r="I7" s="47" t="n">
        <v>3.3</v>
      </c>
      <c r="J7" s="47" t="n">
        <v>151</v>
      </c>
      <c r="K7" s="47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1" min="10" style="0" width="20"/>
    <col collapsed="false" customWidth="true" hidden="false" outlineLevel="0" max="13" min="12" style="0" width="21"/>
    <col collapsed="false" customWidth="true" hidden="false" outlineLevel="0" max="17" min="14" style="0" width="22"/>
    <col collapsed="false" customWidth="true" hidden="false" outlineLevel="0" max="18" min="18" style="0" width="20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3" min="22" style="0" width="18"/>
  </cols>
  <sheetData>
    <row r="1" customFormat="false" ht="23.85" hidden="false" customHeight="false" outlineLevel="0" collapsed="false">
      <c r="A1" s="42" t="s">
        <v>662</v>
      </c>
      <c r="B1" s="42" t="s">
        <v>663</v>
      </c>
      <c r="C1" s="42" t="s">
        <v>664</v>
      </c>
      <c r="D1" s="42" t="s">
        <v>817</v>
      </c>
      <c r="E1" s="42" t="s">
        <v>818</v>
      </c>
      <c r="F1" s="42" t="s">
        <v>819</v>
      </c>
      <c r="G1" s="42" t="s">
        <v>820</v>
      </c>
      <c r="H1" s="42" t="s">
        <v>671</v>
      </c>
      <c r="I1" s="42" t="s">
        <v>675</v>
      </c>
      <c r="J1" s="42" t="s">
        <v>680</v>
      </c>
      <c r="K1" s="42" t="s">
        <v>821</v>
      </c>
      <c r="L1" s="42" t="s">
        <v>770</v>
      </c>
      <c r="M1" s="42" t="s">
        <v>822</v>
      </c>
      <c r="N1" s="42" t="s">
        <v>823</v>
      </c>
      <c r="O1" s="42" t="s">
        <v>824</v>
      </c>
      <c r="P1" s="42" t="s">
        <v>825</v>
      </c>
      <c r="Q1" s="42" t="s">
        <v>826</v>
      </c>
      <c r="R1" s="42" t="s">
        <v>827</v>
      </c>
      <c r="S1" s="42" t="s">
        <v>748</v>
      </c>
      <c r="T1" s="42" t="s">
        <v>754</v>
      </c>
      <c r="U1" s="42" t="s">
        <v>751</v>
      </c>
      <c r="V1" s="42" t="s">
        <v>757</v>
      </c>
      <c r="W1" s="42" t="s">
        <v>828</v>
      </c>
    </row>
    <row r="2" customFormat="false" ht="15" hidden="false" customHeight="false" outlineLevel="0" collapsed="false">
      <c r="A2" s="43" t="s">
        <v>684</v>
      </c>
      <c r="B2" s="45" t="n">
        <v>2020</v>
      </c>
      <c r="C2" s="43" t="s">
        <v>685</v>
      </c>
      <c r="D2" s="43"/>
      <c r="E2" s="43"/>
      <c r="F2" s="43"/>
      <c r="G2" s="45" t="n">
        <v>47.2</v>
      </c>
      <c r="H2" s="45" t="n">
        <v>54.7</v>
      </c>
      <c r="I2" s="45" t="n">
        <v>22.7</v>
      </c>
      <c r="J2" s="45" t="n">
        <v>21.9</v>
      </c>
      <c r="K2" s="43"/>
      <c r="L2" s="43"/>
      <c r="M2" s="43"/>
      <c r="N2" s="43"/>
      <c r="O2" s="43"/>
      <c r="P2" s="43"/>
      <c r="Q2" s="43"/>
      <c r="R2" s="43"/>
      <c r="S2" s="45" t="n">
        <v>33</v>
      </c>
      <c r="T2" s="45" t="n">
        <v>15.8</v>
      </c>
      <c r="U2" s="45" t="n">
        <v>42.4</v>
      </c>
      <c r="V2" s="45" t="n">
        <v>0.9</v>
      </c>
      <c r="W2" s="43"/>
    </row>
    <row r="3" customFormat="false" ht="15" hidden="false" customHeight="false" outlineLevel="0" collapsed="false">
      <c r="A3" s="44" t="s">
        <v>687</v>
      </c>
      <c r="B3" s="47" t="n">
        <v>2021</v>
      </c>
      <c r="C3" s="44" t="s">
        <v>685</v>
      </c>
      <c r="D3" s="47" t="n">
        <v>40</v>
      </c>
      <c r="E3" s="47" t="n">
        <v>33.3</v>
      </c>
      <c r="F3" s="47" t="n">
        <v>83.2</v>
      </c>
      <c r="G3" s="47" t="n">
        <v>44.9</v>
      </c>
      <c r="H3" s="47" t="n">
        <v>55.6</v>
      </c>
      <c r="I3" s="47" t="n">
        <v>25.3</v>
      </c>
      <c r="J3" s="47" t="n">
        <v>21.8</v>
      </c>
      <c r="K3" s="47" t="n">
        <v>6.6</v>
      </c>
      <c r="L3" s="47" t="n">
        <v>18.4</v>
      </c>
      <c r="M3" s="47" t="n">
        <v>14.1</v>
      </c>
      <c r="N3" s="47" t="n">
        <v>58.8</v>
      </c>
      <c r="O3" s="47" t="n">
        <v>77</v>
      </c>
      <c r="P3" s="47" t="n">
        <v>86.9</v>
      </c>
      <c r="Q3" s="47" t="n">
        <v>20.9</v>
      </c>
      <c r="R3" s="47" t="n">
        <v>30.9</v>
      </c>
      <c r="S3" s="47" t="n">
        <v>37.5</v>
      </c>
      <c r="T3" s="47" t="n">
        <v>20</v>
      </c>
      <c r="U3" s="47" t="n">
        <v>36.6</v>
      </c>
      <c r="V3" s="47" t="n">
        <v>1.3</v>
      </c>
      <c r="W3" s="44" t="s">
        <v>829</v>
      </c>
    </row>
    <row r="4" customFormat="false" ht="15" hidden="false" customHeight="false" outlineLevel="0" collapsed="false">
      <c r="A4" s="43" t="s">
        <v>688</v>
      </c>
      <c r="B4" s="45" t="n">
        <v>2022</v>
      </c>
      <c r="C4" s="43" t="s">
        <v>685</v>
      </c>
      <c r="D4" s="45" t="n">
        <v>44.4</v>
      </c>
      <c r="E4" s="45" t="n">
        <v>46.1</v>
      </c>
      <c r="F4" s="45" t="n">
        <v>103.7</v>
      </c>
      <c r="G4" s="45" t="n">
        <v>45.5</v>
      </c>
      <c r="H4" s="45" t="n">
        <v>56.9</v>
      </c>
      <c r="I4" s="45" t="n">
        <v>27.4</v>
      </c>
      <c r="J4" s="45" t="n">
        <v>20.2</v>
      </c>
      <c r="K4" s="45" t="n">
        <v>3.1</v>
      </c>
      <c r="L4" s="45" t="n">
        <v>11.1</v>
      </c>
      <c r="M4" s="45" t="n">
        <v>4.8</v>
      </c>
      <c r="N4" s="45" t="n">
        <v>67.7</v>
      </c>
      <c r="O4" s="45" t="n">
        <v>56.1</v>
      </c>
      <c r="P4" s="45" t="n">
        <v>83.3</v>
      </c>
      <c r="Q4" s="45" t="n">
        <v>27</v>
      </c>
      <c r="R4" s="45" t="n">
        <v>39.7</v>
      </c>
      <c r="S4" s="45" t="n">
        <v>43.5</v>
      </c>
      <c r="T4" s="45" t="n">
        <v>21.6</v>
      </c>
      <c r="U4" s="45" t="n">
        <v>32.2</v>
      </c>
      <c r="V4" s="45" t="n">
        <v>1.6</v>
      </c>
      <c r="W4" s="43" t="s">
        <v>321</v>
      </c>
    </row>
    <row r="5" customFormat="false" ht="15" hidden="false" customHeight="false" outlineLevel="0" collapsed="false">
      <c r="A5" s="44" t="s">
        <v>689</v>
      </c>
      <c r="B5" s="47" t="n">
        <v>2023</v>
      </c>
      <c r="C5" s="44" t="s">
        <v>685</v>
      </c>
      <c r="D5" s="47" t="n">
        <v>37.7</v>
      </c>
      <c r="E5" s="47" t="n">
        <v>38.4</v>
      </c>
      <c r="F5" s="47" t="n">
        <v>101.9</v>
      </c>
      <c r="G5" s="47" t="n">
        <v>45.7</v>
      </c>
      <c r="H5" s="47" t="n">
        <v>56.7</v>
      </c>
      <c r="I5" s="47" t="n">
        <v>27.9</v>
      </c>
      <c r="J5" s="47" t="n">
        <v>19</v>
      </c>
      <c r="K5" s="47" t="n">
        <v>2.6</v>
      </c>
      <c r="L5" s="47" t="n">
        <v>6.7</v>
      </c>
      <c r="M5" s="47" t="n">
        <v>2.6</v>
      </c>
      <c r="N5" s="47" t="n">
        <v>47.3</v>
      </c>
      <c r="O5" s="47" t="n">
        <v>61</v>
      </c>
      <c r="P5" s="47" t="n">
        <v>81.3</v>
      </c>
      <c r="Q5" s="47" t="n">
        <v>1.3</v>
      </c>
      <c r="R5" s="47" t="n">
        <v>34.3</v>
      </c>
      <c r="S5" s="47" t="n">
        <v>46.6</v>
      </c>
      <c r="T5" s="47" t="n">
        <v>25.3</v>
      </c>
      <c r="U5" s="47" t="n">
        <v>23.7</v>
      </c>
      <c r="V5" s="47" t="n">
        <v>2.1</v>
      </c>
      <c r="W5" s="44" t="s">
        <v>829</v>
      </c>
    </row>
    <row r="6" customFormat="false" ht="15" hidden="false" customHeight="false" outlineLevel="0" collapsed="false">
      <c r="A6" s="43" t="s">
        <v>690</v>
      </c>
      <c r="B6" s="45" t="n">
        <v>2024</v>
      </c>
      <c r="C6" s="43" t="s">
        <v>685</v>
      </c>
      <c r="D6" s="45" t="n">
        <v>33.5</v>
      </c>
      <c r="E6" s="45" t="n">
        <v>37.4</v>
      </c>
      <c r="F6" s="45" t="n">
        <v>111.6</v>
      </c>
      <c r="G6" s="45" t="n">
        <v>47</v>
      </c>
      <c r="H6" s="45" t="n">
        <v>57.1</v>
      </c>
      <c r="I6" s="45" t="n">
        <v>28.6</v>
      </c>
      <c r="J6" s="45" t="n">
        <v>20.4</v>
      </c>
      <c r="K6" s="45" t="n">
        <v>4.8</v>
      </c>
      <c r="L6" s="45" t="n">
        <v>9.4</v>
      </c>
      <c r="M6" s="45" t="n">
        <v>9.6</v>
      </c>
      <c r="N6" s="45" t="n">
        <v>43.9</v>
      </c>
      <c r="O6" s="45" t="n">
        <v>43.3</v>
      </c>
      <c r="P6" s="45" t="n">
        <v>99.2</v>
      </c>
      <c r="Q6" s="45" t="n">
        <v>-11.8</v>
      </c>
      <c r="R6" s="45" t="n">
        <v>27.4</v>
      </c>
      <c r="S6" s="45" t="n">
        <v>50.2</v>
      </c>
      <c r="T6" s="45" t="n">
        <v>27.1</v>
      </c>
      <c r="U6" s="45" t="n">
        <v>15.6</v>
      </c>
      <c r="V6" s="45" t="n">
        <v>3.2</v>
      </c>
      <c r="W6" s="43" t="s">
        <v>321</v>
      </c>
    </row>
    <row r="7" customFormat="false" ht="15" hidden="false" customHeight="false" outlineLevel="0" collapsed="false">
      <c r="A7" s="44" t="s">
        <v>691</v>
      </c>
      <c r="B7" s="47" t="n">
        <v>2025</v>
      </c>
      <c r="C7" s="44" t="s">
        <v>685</v>
      </c>
      <c r="D7" s="47" t="n">
        <v>36.2</v>
      </c>
      <c r="E7" s="47" t="n">
        <v>7.7</v>
      </c>
      <c r="F7" s="47" t="n">
        <v>21.3</v>
      </c>
      <c r="G7" s="47" t="n">
        <v>49.6</v>
      </c>
      <c r="H7" s="47" t="n">
        <v>60.1</v>
      </c>
      <c r="I7" s="47" t="n">
        <v>32</v>
      </c>
      <c r="J7" s="47" t="n">
        <v>22.7</v>
      </c>
      <c r="K7" s="47" t="n">
        <v>9.5</v>
      </c>
      <c r="L7" s="47" t="n">
        <v>13.7</v>
      </c>
      <c r="M7" s="47" t="n">
        <v>12.2</v>
      </c>
      <c r="N7" s="47" t="n">
        <v>6.9</v>
      </c>
      <c r="O7" s="47" t="n">
        <v>-7.5</v>
      </c>
      <c r="P7" s="47" t="n">
        <v>-45.7</v>
      </c>
      <c r="Q7" s="47" t="n">
        <v>7.5</v>
      </c>
      <c r="R7" s="47" t="n">
        <v>-4.2</v>
      </c>
      <c r="S7" s="47" t="n">
        <v>52.6</v>
      </c>
      <c r="T7" s="47" t="n">
        <v>24.6</v>
      </c>
      <c r="U7" s="47" t="n">
        <v>16.5</v>
      </c>
      <c r="V7" s="47" t="n">
        <v>1.7</v>
      </c>
      <c r="W7" s="44" t="s">
        <v>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10" min="9" style="0" width="13"/>
  </cols>
  <sheetData>
    <row r="1" customFormat="false" ht="23.85" hidden="false" customHeight="false" outlineLevel="0" collapsed="false">
      <c r="A1" s="42" t="s">
        <v>830</v>
      </c>
      <c r="B1" s="42" t="s">
        <v>831</v>
      </c>
      <c r="C1" s="42" t="s">
        <v>303</v>
      </c>
      <c r="D1" s="42" t="s">
        <v>832</v>
      </c>
      <c r="E1" s="42" t="s">
        <v>833</v>
      </c>
      <c r="F1" s="42" t="s">
        <v>834</v>
      </c>
      <c r="G1" s="42" t="s">
        <v>835</v>
      </c>
      <c r="H1" s="42" t="s">
        <v>836</v>
      </c>
      <c r="I1" s="42" t="s">
        <v>837</v>
      </c>
      <c r="J1" s="42" t="s">
        <v>838</v>
      </c>
    </row>
    <row r="2" customFormat="false" ht="15" hidden="false" customHeight="false" outlineLevel="0" collapsed="false">
      <c r="A2" s="43" t="s">
        <v>130</v>
      </c>
      <c r="B2" s="43" t="s">
        <v>314</v>
      </c>
      <c r="C2" s="43" t="s">
        <v>224</v>
      </c>
      <c r="D2" s="43" t="s">
        <v>318</v>
      </c>
      <c r="E2" s="43" t="s">
        <v>319</v>
      </c>
      <c r="F2" s="43" t="s">
        <v>320</v>
      </c>
      <c r="G2" s="43" t="s">
        <v>839</v>
      </c>
      <c r="H2" s="43" t="s">
        <v>315</v>
      </c>
      <c r="I2" s="43" t="s">
        <v>685</v>
      </c>
      <c r="J2" s="43" t="s">
        <v>667</v>
      </c>
    </row>
    <row r="3" customFormat="false" ht="15" hidden="false" customHeight="false" outlineLevel="0" collapsed="false">
      <c r="A3" s="44" t="s">
        <v>130</v>
      </c>
      <c r="B3" s="44" t="s">
        <v>325</v>
      </c>
      <c r="C3" s="44" t="s">
        <v>224</v>
      </c>
      <c r="D3" s="44" t="s">
        <v>326</v>
      </c>
      <c r="E3" s="44" t="s">
        <v>327</v>
      </c>
      <c r="F3" s="44" t="s">
        <v>328</v>
      </c>
      <c r="G3" s="44" t="s">
        <v>839</v>
      </c>
      <c r="H3" s="44" t="s">
        <v>315</v>
      </c>
      <c r="I3" s="44" t="s">
        <v>685</v>
      </c>
      <c r="J3" s="44" t="s">
        <v>671</v>
      </c>
    </row>
    <row r="4" customFormat="false" ht="15" hidden="false" customHeight="false" outlineLevel="0" collapsed="false">
      <c r="A4" s="43" t="s">
        <v>130</v>
      </c>
      <c r="B4" s="43" t="s">
        <v>330</v>
      </c>
      <c r="C4" s="43" t="s">
        <v>224</v>
      </c>
      <c r="D4" s="43" t="s">
        <v>318</v>
      </c>
      <c r="E4" s="43" t="s">
        <v>319</v>
      </c>
      <c r="F4" s="43" t="s">
        <v>320</v>
      </c>
      <c r="G4" s="43" t="s">
        <v>839</v>
      </c>
      <c r="H4" s="43" t="s">
        <v>315</v>
      </c>
      <c r="I4" s="43" t="s">
        <v>685</v>
      </c>
      <c r="J4" s="43" t="s">
        <v>670</v>
      </c>
    </row>
    <row r="5" customFormat="false" ht="15" hidden="false" customHeight="false" outlineLevel="0" collapsed="false">
      <c r="A5" s="44" t="s">
        <v>130</v>
      </c>
      <c r="B5" s="44" t="s">
        <v>332</v>
      </c>
      <c r="C5" s="44" t="s">
        <v>224</v>
      </c>
      <c r="D5" s="44" t="s">
        <v>333</v>
      </c>
      <c r="E5" s="44" t="s">
        <v>334</v>
      </c>
      <c r="F5" s="44" t="s">
        <v>335</v>
      </c>
      <c r="G5" s="44" t="s">
        <v>839</v>
      </c>
      <c r="H5" s="44" t="s">
        <v>315</v>
      </c>
      <c r="I5" s="44" t="s">
        <v>685</v>
      </c>
      <c r="J5" s="44" t="s">
        <v>674</v>
      </c>
    </row>
    <row r="6" customFormat="false" ht="15" hidden="false" customHeight="false" outlineLevel="0" collapsed="false">
      <c r="A6" s="43" t="s">
        <v>130</v>
      </c>
      <c r="B6" s="43" t="s">
        <v>337</v>
      </c>
      <c r="C6" s="43" t="s">
        <v>224</v>
      </c>
      <c r="D6" s="43" t="s">
        <v>318</v>
      </c>
      <c r="E6" s="43" t="s">
        <v>338</v>
      </c>
      <c r="F6" s="43" t="s">
        <v>335</v>
      </c>
      <c r="G6" s="43" t="s">
        <v>839</v>
      </c>
      <c r="H6" s="43" t="s">
        <v>315</v>
      </c>
      <c r="I6" s="43" t="s">
        <v>685</v>
      </c>
      <c r="J6" s="43" t="s">
        <v>675</v>
      </c>
    </row>
    <row r="7" customFormat="false" ht="15" hidden="false" customHeight="false" outlineLevel="0" collapsed="false">
      <c r="A7" s="44" t="s">
        <v>130</v>
      </c>
      <c r="B7" s="44" t="s">
        <v>340</v>
      </c>
      <c r="C7" s="44" t="s">
        <v>224</v>
      </c>
      <c r="D7" s="44" t="s">
        <v>341</v>
      </c>
      <c r="E7" s="44" t="s">
        <v>342</v>
      </c>
      <c r="F7" s="44" t="s">
        <v>343</v>
      </c>
      <c r="G7" s="44" t="s">
        <v>840</v>
      </c>
      <c r="H7" s="44" t="s">
        <v>315</v>
      </c>
      <c r="I7" s="44" t="s">
        <v>841</v>
      </c>
      <c r="J7" s="44" t="s">
        <v>842</v>
      </c>
    </row>
    <row r="8" customFormat="false" ht="15" hidden="false" customHeight="false" outlineLevel="0" collapsed="false">
      <c r="A8" s="43" t="s">
        <v>130</v>
      </c>
      <c r="B8" s="43" t="s">
        <v>346</v>
      </c>
      <c r="C8" s="43" t="s">
        <v>224</v>
      </c>
      <c r="D8" s="43" t="s">
        <v>338</v>
      </c>
      <c r="E8" s="43" t="s">
        <v>347</v>
      </c>
      <c r="F8" s="43" t="s">
        <v>348</v>
      </c>
      <c r="G8" s="43" t="s">
        <v>843</v>
      </c>
      <c r="H8" s="43" t="s">
        <v>315</v>
      </c>
      <c r="I8" s="43" t="s">
        <v>685</v>
      </c>
      <c r="J8" s="43" t="s">
        <v>680</v>
      </c>
    </row>
    <row r="9" customFormat="false" ht="15" hidden="false" customHeight="false" outlineLevel="0" collapsed="false">
      <c r="A9" s="44" t="s">
        <v>130</v>
      </c>
      <c r="B9" s="44" t="s">
        <v>350</v>
      </c>
      <c r="C9" s="44" t="s">
        <v>224</v>
      </c>
      <c r="D9" s="44" t="s">
        <v>333</v>
      </c>
      <c r="E9" s="44" t="s">
        <v>334</v>
      </c>
      <c r="F9" s="44" t="s">
        <v>335</v>
      </c>
      <c r="G9" s="44" t="s">
        <v>839</v>
      </c>
      <c r="H9" s="44" t="s">
        <v>315</v>
      </c>
      <c r="I9" s="44" t="s">
        <v>685</v>
      </c>
      <c r="J9" s="44" t="s">
        <v>677</v>
      </c>
    </row>
    <row r="10" customFormat="false" ht="15" hidden="false" customHeight="false" outlineLevel="0" collapsed="false">
      <c r="A10" s="43" t="s">
        <v>352</v>
      </c>
      <c r="B10" s="43" t="s">
        <v>353</v>
      </c>
      <c r="C10" s="43" t="s">
        <v>224</v>
      </c>
      <c r="D10" s="43" t="s">
        <v>354</v>
      </c>
      <c r="E10" s="43" t="s">
        <v>355</v>
      </c>
      <c r="F10" s="43" t="s">
        <v>356</v>
      </c>
      <c r="G10" s="43" t="s">
        <v>839</v>
      </c>
      <c r="H10" s="43" t="s">
        <v>315</v>
      </c>
      <c r="I10" s="43" t="s">
        <v>844</v>
      </c>
      <c r="J10" s="43" t="s">
        <v>747</v>
      </c>
    </row>
    <row r="11" customFormat="false" ht="15" hidden="false" customHeight="false" outlineLevel="0" collapsed="false">
      <c r="A11" s="44" t="s">
        <v>352</v>
      </c>
      <c r="B11" s="44" t="s">
        <v>358</v>
      </c>
      <c r="C11" s="44" t="s">
        <v>224</v>
      </c>
      <c r="D11" s="44" t="s">
        <v>359</v>
      </c>
      <c r="E11" s="44" t="s">
        <v>360</v>
      </c>
      <c r="F11" s="44" t="s">
        <v>361</v>
      </c>
      <c r="G11" s="44" t="s">
        <v>839</v>
      </c>
      <c r="H11" s="44" t="s">
        <v>315</v>
      </c>
      <c r="I11" s="44" t="s">
        <v>844</v>
      </c>
      <c r="J11" s="44" t="s">
        <v>748</v>
      </c>
    </row>
    <row r="12" customFormat="false" ht="15" hidden="false" customHeight="false" outlineLevel="0" collapsed="false">
      <c r="A12" s="43" t="s">
        <v>352</v>
      </c>
      <c r="B12" s="43" t="s">
        <v>363</v>
      </c>
      <c r="C12" s="43" t="s">
        <v>224</v>
      </c>
      <c r="D12" s="43" t="s">
        <v>364</v>
      </c>
      <c r="E12" s="43" t="s">
        <v>365</v>
      </c>
      <c r="F12" s="43" t="s">
        <v>335</v>
      </c>
      <c r="G12" s="43" t="s">
        <v>839</v>
      </c>
      <c r="H12" s="43" t="s">
        <v>315</v>
      </c>
      <c r="I12" s="43" t="s">
        <v>844</v>
      </c>
      <c r="J12" s="43" t="s">
        <v>753</v>
      </c>
    </row>
    <row r="13" customFormat="false" ht="15" hidden="false" customHeight="false" outlineLevel="0" collapsed="false">
      <c r="A13" s="44" t="s">
        <v>352</v>
      </c>
      <c r="B13" s="44" t="s">
        <v>367</v>
      </c>
      <c r="C13" s="44" t="s">
        <v>224</v>
      </c>
      <c r="D13" s="44" t="s">
        <v>368</v>
      </c>
      <c r="E13" s="44" t="s">
        <v>369</v>
      </c>
      <c r="F13" s="44" t="s">
        <v>335</v>
      </c>
      <c r="G13" s="44" t="s">
        <v>839</v>
      </c>
      <c r="H13" s="44" t="s">
        <v>315</v>
      </c>
      <c r="I13" s="44" t="s">
        <v>844</v>
      </c>
      <c r="J13" s="44" t="s">
        <v>754</v>
      </c>
    </row>
    <row r="14" customFormat="false" ht="15" hidden="false" customHeight="false" outlineLevel="0" collapsed="false">
      <c r="A14" s="43" t="s">
        <v>352</v>
      </c>
      <c r="B14" s="43" t="s">
        <v>371</v>
      </c>
      <c r="C14" s="43" t="s">
        <v>224</v>
      </c>
      <c r="D14" s="43" t="s">
        <v>372</v>
      </c>
      <c r="E14" s="43" t="s">
        <v>373</v>
      </c>
      <c r="F14" s="43" t="s">
        <v>374</v>
      </c>
      <c r="G14" s="43" t="s">
        <v>839</v>
      </c>
      <c r="H14" s="43" t="s">
        <v>315</v>
      </c>
      <c r="I14" s="43" t="s">
        <v>844</v>
      </c>
      <c r="J14" s="43" t="s">
        <v>750</v>
      </c>
    </row>
    <row r="15" customFormat="false" ht="15" hidden="false" customHeight="false" outlineLevel="0" collapsed="false">
      <c r="A15" s="44" t="s">
        <v>352</v>
      </c>
      <c r="B15" s="44" t="s">
        <v>376</v>
      </c>
      <c r="C15" s="44" t="s">
        <v>224</v>
      </c>
      <c r="D15" s="44" t="s">
        <v>359</v>
      </c>
      <c r="E15" s="44" t="s">
        <v>377</v>
      </c>
      <c r="F15" s="44" t="s">
        <v>378</v>
      </c>
      <c r="G15" s="44" t="s">
        <v>839</v>
      </c>
      <c r="H15" s="44" t="s">
        <v>315</v>
      </c>
      <c r="I15" s="44" t="s">
        <v>844</v>
      </c>
      <c r="J15" s="44" t="s">
        <v>756</v>
      </c>
    </row>
    <row r="16" customFormat="false" ht="15" hidden="false" customHeight="false" outlineLevel="0" collapsed="false">
      <c r="A16" s="43" t="s">
        <v>352</v>
      </c>
      <c r="B16" s="43" t="s">
        <v>380</v>
      </c>
      <c r="C16" s="43" t="s">
        <v>224</v>
      </c>
      <c r="D16" s="43" t="s">
        <v>381</v>
      </c>
      <c r="E16" s="43" t="s">
        <v>382</v>
      </c>
      <c r="F16" s="43" t="s">
        <v>383</v>
      </c>
      <c r="G16" s="43" t="s">
        <v>839</v>
      </c>
      <c r="H16" s="43" t="s">
        <v>315</v>
      </c>
      <c r="I16" s="43" t="s">
        <v>844</v>
      </c>
      <c r="J16" s="43" t="s">
        <v>757</v>
      </c>
    </row>
    <row r="17" customFormat="false" ht="15" hidden="false" customHeight="false" outlineLevel="0" collapsed="false">
      <c r="A17" s="44" t="s">
        <v>140</v>
      </c>
      <c r="B17" s="44" t="s">
        <v>385</v>
      </c>
      <c r="C17" s="44" t="s">
        <v>224</v>
      </c>
      <c r="D17" s="44" t="s">
        <v>372</v>
      </c>
      <c r="E17" s="44" t="s">
        <v>386</v>
      </c>
      <c r="F17" s="44" t="s">
        <v>387</v>
      </c>
      <c r="G17" s="44" t="s">
        <v>839</v>
      </c>
      <c r="H17" s="44" t="s">
        <v>315</v>
      </c>
      <c r="I17" s="44" t="s">
        <v>845</v>
      </c>
      <c r="J17" s="44" t="s">
        <v>768</v>
      </c>
    </row>
    <row r="18" customFormat="false" ht="15" hidden="false" customHeight="false" outlineLevel="0" collapsed="false">
      <c r="A18" s="43" t="s">
        <v>140</v>
      </c>
      <c r="B18" s="43" t="s">
        <v>389</v>
      </c>
      <c r="C18" s="43" t="s">
        <v>224</v>
      </c>
      <c r="D18" s="43" t="s">
        <v>390</v>
      </c>
      <c r="E18" s="43" t="s">
        <v>391</v>
      </c>
      <c r="F18" s="43" t="s">
        <v>392</v>
      </c>
      <c r="G18" s="43" t="s">
        <v>839</v>
      </c>
      <c r="H18" s="43" t="s">
        <v>315</v>
      </c>
      <c r="I18" s="43" t="s">
        <v>845</v>
      </c>
      <c r="J18" s="43" t="s">
        <v>770</v>
      </c>
    </row>
    <row r="19" customFormat="false" ht="15" hidden="false" customHeight="false" outlineLevel="0" collapsed="false">
      <c r="A19" s="44" t="s">
        <v>140</v>
      </c>
      <c r="B19" s="44" t="s">
        <v>394</v>
      </c>
      <c r="C19" s="44" t="s">
        <v>224</v>
      </c>
      <c r="D19" s="44" t="s">
        <v>390</v>
      </c>
      <c r="E19" s="44" t="s">
        <v>391</v>
      </c>
      <c r="F19" s="44" t="s">
        <v>392</v>
      </c>
      <c r="G19" s="44" t="s">
        <v>839</v>
      </c>
      <c r="H19" s="44" t="s">
        <v>315</v>
      </c>
      <c r="I19" s="44" t="s">
        <v>845</v>
      </c>
      <c r="J19" s="44" t="s">
        <v>753</v>
      </c>
    </row>
    <row r="20" customFormat="false" ht="15" hidden="false" customHeight="false" outlineLevel="0" collapsed="false">
      <c r="A20" s="43" t="s">
        <v>140</v>
      </c>
      <c r="B20" s="43" t="s">
        <v>396</v>
      </c>
      <c r="C20" s="43" t="s">
        <v>397</v>
      </c>
      <c r="D20" s="43" t="s">
        <v>390</v>
      </c>
      <c r="E20" s="43" t="s">
        <v>398</v>
      </c>
      <c r="F20" s="43" t="s">
        <v>399</v>
      </c>
      <c r="G20" s="43" t="s">
        <v>839</v>
      </c>
      <c r="H20" s="43" t="s">
        <v>315</v>
      </c>
      <c r="I20" s="43" t="s">
        <v>845</v>
      </c>
      <c r="J20" s="43" t="s">
        <v>774</v>
      </c>
    </row>
    <row r="21" customFormat="false" ht="15" hidden="false" customHeight="false" outlineLevel="0" collapsed="false">
      <c r="A21" s="44" t="s">
        <v>140</v>
      </c>
      <c r="B21" s="44" t="s">
        <v>401</v>
      </c>
      <c r="C21" s="44" t="s">
        <v>224</v>
      </c>
      <c r="D21" s="44" t="s">
        <v>402</v>
      </c>
      <c r="E21" s="44" t="s">
        <v>403</v>
      </c>
      <c r="F21" s="44" t="s">
        <v>404</v>
      </c>
      <c r="G21" s="44" t="s">
        <v>839</v>
      </c>
      <c r="H21" s="44" t="s">
        <v>315</v>
      </c>
      <c r="I21" s="44" t="s">
        <v>845</v>
      </c>
      <c r="J21" s="44" t="s">
        <v>776</v>
      </c>
    </row>
    <row r="22" customFormat="false" ht="15" hidden="false" customHeight="false" outlineLevel="0" collapsed="false">
      <c r="A22" s="43" t="s">
        <v>406</v>
      </c>
      <c r="B22" s="43" t="s">
        <v>407</v>
      </c>
      <c r="C22" s="43" t="s">
        <v>408</v>
      </c>
      <c r="D22" s="43" t="s">
        <v>409</v>
      </c>
      <c r="E22" s="43" t="s">
        <v>410</v>
      </c>
      <c r="F22" s="43" t="s">
        <v>411</v>
      </c>
      <c r="G22" s="43" t="s">
        <v>840</v>
      </c>
      <c r="H22" s="43" t="s">
        <v>406</v>
      </c>
      <c r="I22" s="43" t="s">
        <v>846</v>
      </c>
      <c r="J22" s="43" t="s">
        <v>791</v>
      </c>
    </row>
    <row r="23" customFormat="false" ht="15" hidden="false" customHeight="false" outlineLevel="0" collapsed="false">
      <c r="A23" s="44" t="s">
        <v>406</v>
      </c>
      <c r="B23" s="44" t="s">
        <v>413</v>
      </c>
      <c r="C23" s="44" t="s">
        <v>224</v>
      </c>
      <c r="D23" s="44" t="s">
        <v>414</v>
      </c>
      <c r="E23" s="44" t="s">
        <v>415</v>
      </c>
      <c r="F23" s="44" t="s">
        <v>416</v>
      </c>
      <c r="G23" s="44" t="s">
        <v>840</v>
      </c>
      <c r="H23" s="44" t="s">
        <v>406</v>
      </c>
      <c r="I23" s="44" t="s">
        <v>846</v>
      </c>
      <c r="J23" s="44" t="s">
        <v>793</v>
      </c>
    </row>
    <row r="24" customFormat="false" ht="15" hidden="false" customHeight="false" outlineLevel="0" collapsed="false">
      <c r="A24" s="43" t="s">
        <v>406</v>
      </c>
      <c r="B24" s="43" t="s">
        <v>418</v>
      </c>
      <c r="C24" s="43" t="s">
        <v>224</v>
      </c>
      <c r="D24" s="43" t="s">
        <v>387</v>
      </c>
      <c r="E24" s="43" t="s">
        <v>386</v>
      </c>
      <c r="F24" s="43" t="s">
        <v>372</v>
      </c>
      <c r="G24" s="43" t="s">
        <v>840</v>
      </c>
      <c r="H24" s="43" t="s">
        <v>406</v>
      </c>
      <c r="I24" s="43" t="s">
        <v>846</v>
      </c>
      <c r="J24" s="43" t="s">
        <v>795</v>
      </c>
    </row>
    <row r="25" customFormat="false" ht="15" hidden="false" customHeight="false" outlineLevel="0" collapsed="false">
      <c r="A25" s="44" t="s">
        <v>406</v>
      </c>
      <c r="B25" s="44" t="s">
        <v>420</v>
      </c>
      <c r="C25" s="44" t="s">
        <v>421</v>
      </c>
      <c r="D25" s="44" t="s">
        <v>422</v>
      </c>
      <c r="E25" s="44" t="s">
        <v>423</v>
      </c>
      <c r="F25" s="44" t="s">
        <v>424</v>
      </c>
      <c r="G25" s="44" t="s">
        <v>839</v>
      </c>
      <c r="H25" s="44" t="s">
        <v>406</v>
      </c>
      <c r="I25" s="44" t="s">
        <v>846</v>
      </c>
      <c r="J25" s="44" t="s">
        <v>797</v>
      </c>
    </row>
    <row r="26" customFormat="false" ht="15" hidden="false" customHeight="false" outlineLevel="0" collapsed="false">
      <c r="A26" s="43" t="s">
        <v>406</v>
      </c>
      <c r="B26" s="43" t="s">
        <v>426</v>
      </c>
      <c r="C26" s="43" t="s">
        <v>427</v>
      </c>
      <c r="D26" s="43" t="s">
        <v>428</v>
      </c>
      <c r="E26" s="43" t="s">
        <v>429</v>
      </c>
      <c r="F26" s="43" t="s">
        <v>430</v>
      </c>
      <c r="G26" s="43" t="s">
        <v>839</v>
      </c>
      <c r="H26" s="43" t="s">
        <v>406</v>
      </c>
      <c r="I26" s="43" t="s">
        <v>846</v>
      </c>
      <c r="J26" s="43" t="s">
        <v>799</v>
      </c>
    </row>
    <row r="27" customFormat="false" ht="15" hidden="false" customHeight="false" outlineLevel="0" collapsed="false">
      <c r="A27" s="44" t="s">
        <v>406</v>
      </c>
      <c r="B27" s="44" t="s">
        <v>432</v>
      </c>
      <c r="C27" s="44" t="s">
        <v>433</v>
      </c>
      <c r="D27" s="44" t="s">
        <v>378</v>
      </c>
      <c r="E27" s="44" t="s">
        <v>434</v>
      </c>
      <c r="F27" s="44" t="s">
        <v>354</v>
      </c>
      <c r="G27" s="44" t="s">
        <v>840</v>
      </c>
      <c r="H27" s="44" t="s">
        <v>406</v>
      </c>
      <c r="I27" s="44" t="s">
        <v>846</v>
      </c>
      <c r="J27" s="44" t="s">
        <v>801</v>
      </c>
    </row>
    <row r="28" customFormat="false" ht="15" hidden="false" customHeight="false" outlineLevel="0" collapsed="false">
      <c r="A28" s="43" t="s">
        <v>406</v>
      </c>
      <c r="B28" s="43" t="s">
        <v>436</v>
      </c>
      <c r="C28" s="43" t="s">
        <v>437</v>
      </c>
      <c r="D28" s="43" t="s">
        <v>438</v>
      </c>
      <c r="E28" s="43" t="s">
        <v>439</v>
      </c>
      <c r="F28" s="43" t="s">
        <v>440</v>
      </c>
      <c r="G28" s="43" t="s">
        <v>840</v>
      </c>
      <c r="H28" s="43" t="s">
        <v>406</v>
      </c>
      <c r="I28" s="43" t="s">
        <v>847</v>
      </c>
      <c r="J28" s="43" t="s">
        <v>848</v>
      </c>
    </row>
    <row r="29" customFormat="false" ht="15" hidden="false" customHeight="false" outlineLevel="0" collapsed="false">
      <c r="A29" s="44" t="s">
        <v>406</v>
      </c>
      <c r="B29" s="44" t="s">
        <v>442</v>
      </c>
      <c r="C29" s="44" t="s">
        <v>224</v>
      </c>
      <c r="D29" s="44" t="s">
        <v>320</v>
      </c>
      <c r="E29" s="44" t="s">
        <v>319</v>
      </c>
      <c r="F29" s="44" t="s">
        <v>318</v>
      </c>
      <c r="G29" s="44" t="s">
        <v>840</v>
      </c>
      <c r="H29" s="44" t="s">
        <v>406</v>
      </c>
      <c r="I29" s="44" t="s">
        <v>847</v>
      </c>
      <c r="J29" s="44" t="s">
        <v>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2026-05-25T10:18:05Z</dcterms:created>
  <dc:creator>openpyxl</dc:creator>
  <dc:description/>
  <dc:language>en-US</dc:language>
  <cp:lastModifiedBy/>
  <dcterms:modified xsi:type="dcterms:W3CDTF">2026-05-25T10:22:27Z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